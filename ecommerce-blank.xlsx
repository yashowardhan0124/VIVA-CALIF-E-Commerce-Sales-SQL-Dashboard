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Yashowardhan shete\Downloads\"/>
    </mc:Choice>
  </mc:AlternateContent>
  <xr:revisionPtr revIDLastSave="0" documentId="13_ncr:1_{60A52511-7729-4D49-9552-50DA7691CC74}" xr6:coauthVersionLast="47" xr6:coauthVersionMax="47" xr10:uidLastSave="{00000000-0000-0000-0000-000000000000}"/>
  <bookViews>
    <workbookView xWindow="-108" yWindow="-108" windowWidth="23256" windowHeight="12456" activeTab="5" xr2:uid="{346724B3-1C49-40AE-AA36-C77CF5D6DD09}"/>
  </bookViews>
  <sheets>
    <sheet name="Pivots 3" sheetId="8" r:id="rId1"/>
    <sheet name="Pivots 2 " sheetId="9" r:id="rId2"/>
    <sheet name="Data" sheetId="1" r:id="rId3"/>
    <sheet name="Questions &amp; KPIs" sheetId="2" r:id="rId4"/>
    <sheet name="Pivots" sheetId="5" r:id="rId5"/>
    <sheet name="Dashboards" sheetId="6" r:id="rId6"/>
  </sheets>
  <definedNames>
    <definedName name="_xlchart.v5.0" hidden="1">'Pivots 2 '!$L$36:$M$36</definedName>
    <definedName name="_xlchart.v5.1" hidden="1">'Pivots 2 '!$L$37:$M$87</definedName>
    <definedName name="_xlchart.v5.2" hidden="1">'Pivots 2 '!$N$36</definedName>
    <definedName name="_xlchart.v5.3" hidden="1">'Pivots 2 '!$N$37:$N$87</definedName>
    <definedName name="_xlchart.v5.4" hidden="1">'Pivots 2 '!$H$36:$I$36</definedName>
    <definedName name="_xlchart.v5.5" hidden="1">'Pivots 2 '!$H$37:$I$96</definedName>
    <definedName name="_xlchart.v5.6" hidden="1">'Pivots 2 '!$J$36</definedName>
    <definedName name="_xlchart.v5.7" hidden="1">'Pivots 2 '!$J$37:$J$96</definedName>
    <definedName name="Slicer_Gender_Value">#N/A</definedName>
    <definedName name="Slicer_Order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9" i="9" l="1"/>
  <c r="N88" i="9"/>
  <c r="I88"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37" i="9"/>
  <c r="N191" i="9"/>
  <c r="N192" i="9"/>
  <c r="N193" i="9"/>
  <c r="N194" i="9"/>
  <c r="N195" i="9"/>
  <c r="N196" i="9"/>
  <c r="N197" i="9"/>
  <c r="N198" i="9"/>
  <c r="N199" i="9"/>
  <c r="N200" i="9"/>
  <c r="N201" i="9"/>
  <c r="M193" i="9"/>
  <c r="M194" i="9"/>
  <c r="M195" i="9"/>
  <c r="M196" i="9"/>
  <c r="M197" i="9"/>
  <c r="M198" i="9"/>
  <c r="M199" i="9"/>
  <c r="M200" i="9"/>
  <c r="M201" i="9"/>
  <c r="L190" i="9"/>
  <c r="L191" i="9"/>
  <c r="L192" i="9"/>
  <c r="L193" i="9"/>
  <c r="L194" i="9"/>
  <c r="L195" i="9"/>
  <c r="L196" i="9"/>
  <c r="L197" i="9"/>
  <c r="L198" i="9"/>
  <c r="L199" i="9"/>
  <c r="L200" i="9"/>
  <c r="L201"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H38" i="9"/>
  <c r="H39" i="9"/>
  <c r="H40" i="9"/>
  <c r="H41" i="9"/>
  <c r="H42" i="9"/>
  <c r="H43" i="9"/>
  <c r="H44" i="9"/>
  <c r="H45" i="9"/>
  <c r="H46" i="9"/>
  <c r="H47" i="9"/>
  <c r="H48"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N37" i="9"/>
  <c r="J37" i="9"/>
  <c r="H37" i="9"/>
  <c r="I37" i="9"/>
  <c r="I36" i="9"/>
  <c r="M37" i="9"/>
  <c r="L36" i="9"/>
  <c r="H36" i="9"/>
  <c r="J36" i="9"/>
  <c r="N36" i="9"/>
  <c r="M36" i="9"/>
  <c r="L9" i="8"/>
  <c r="K9" i="8"/>
  <c r="J9" i="8"/>
  <c r="I9" i="8"/>
  <c r="H9" i="8"/>
  <c r="L8" i="8"/>
  <c r="K8" i="8"/>
  <c r="J8" i="8"/>
  <c r="I8" i="8"/>
  <c r="H8" i="8"/>
  <c r="L7" i="8"/>
  <c r="K7" i="8"/>
  <c r="J7" i="8"/>
  <c r="I7" i="8"/>
  <c r="H7" i="8"/>
  <c r="L6" i="8"/>
  <c r="K6" i="8"/>
  <c r="J6" i="8"/>
  <c r="I6" i="8"/>
  <c r="H6" i="8"/>
  <c r="L5" i="8"/>
  <c r="K5" i="8"/>
  <c r="J5" i="8"/>
  <c r="I5" i="8"/>
  <c r="H5" i="8"/>
  <c r="L4" i="8"/>
  <c r="K4" i="8"/>
  <c r="J4" i="8"/>
  <c r="I4" i="8"/>
  <c r="K6" i="5"/>
  <c r="J6" i="5"/>
  <c r="I6" i="5"/>
  <c r="H6" i="5"/>
  <c r="G6"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<sst xmlns="http://schemas.openxmlformats.org/spreadsheetml/2006/main" count="14532" uniqueCount="2544">
  <si>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</si>
  <si>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</si>
  <si>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</si>
  <si>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</si>
  <si>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</si>
  <si>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</si>
  <si>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</si>
  <si>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</si>
  <si>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</si>
  <si>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</si>
  <si>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</si>
  <si>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</si>
  <si>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</si>
  <si>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</si>
  <si>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</si>
  <si>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</si>
  <si>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</si>
  <si>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</si>
  <si>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</si>
  <si>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</si>
  <si>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</si>
  <si>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</si>
  <si>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</si>
  <si>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</si>
  <si>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</si>
  <si>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</si>
  <si>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</si>
  <si>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</si>
  <si>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</si>
  <si>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</si>
  <si>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</si>
  <si>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</si>
  <si>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</si>
  <si>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</si>
  <si>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</si>
  <si>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</si>
  <si>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</si>
  <si>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</si>
  <si>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</si>
  <si>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</si>
  <si>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</si>
  <si>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</si>
  <si>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</si>
  <si>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</si>
  <si>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</si>
  <si>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</si>
  <si>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</si>
  <si>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</si>
  <si>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</si>
  <si>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</si>
  <si>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</si>
  <si>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</si>
  <si>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</si>
  <si>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</si>
  <si>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</si>
  <si>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</si>
  <si>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</si>
  <si>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</si>
  <si>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</si>
  <si>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</si>
  <si>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</si>
  <si>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</si>
  <si>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</si>
  <si>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</si>
  <si>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</si>
  <si>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</si>
  <si>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</si>
  <si>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</si>
  <si>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</si>
  <si>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</si>
  <si>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</si>
  <si>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</si>
  <si>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</si>
  <si>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</si>
  <si>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</si>
  <si>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</si>
  <si>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</si>
  <si>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</si>
  <si>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</si>
  <si>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</si>
  <si>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</si>
  <si>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</si>
  <si>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</si>
  <si>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</si>
  <si>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</si>
  <si>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</si>
  <si>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</si>
  <si>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</si>
  <si>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</si>
  <si>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</si>
  <si>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</si>
  <si>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</si>
  <si>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</si>
  <si>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</si>
  <si>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</si>
  <si>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</si>
  <si>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</si>
  <si>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</si>
  <si>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</si>
  <si>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</si>
  <si>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</si>
  <si>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</si>
  <si>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</si>
  <si>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</si>
  <si>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</si>
  <si>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</si>
  <si>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</si>
  <si>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</si>
  <si>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</si>
  <si>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</si>
  <si>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</si>
  <si>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</si>
  <si>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</si>
  <si>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</si>
  <si>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</si>
  <si>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</si>
  <si>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</si>
  <si>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</si>
  <si>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</si>
  <si>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</si>
  <si>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</si>
  <si>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</si>
  <si>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</si>
  <si>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</si>
  <si>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</si>
  <si>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</si>
  <si>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</si>
  <si>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</si>
  <si>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</si>
  <si>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</si>
  <si>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</si>
  <si>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</si>
  <si>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</si>
  <si>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</si>
  <si>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</si>
  <si>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</si>
  <si>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</si>
  <si>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</si>
  <si>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</si>
  <si>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</si>
  <si>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</si>
  <si>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</si>
  <si>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</si>
  <si>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</si>
  <si>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</si>
  <si>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</si>
  <si>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</si>
  <si>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</si>
  <si>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</si>
  <si>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</si>
  <si>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</si>
  <si>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</si>
  <si>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</si>
  <si>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</si>
  <si>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</si>
  <si>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</si>
  <si>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</si>
  <si>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</si>
  <si>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</si>
  <si>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</si>
  <si>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</si>
  <si>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</si>
  <si>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</si>
  <si>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</si>
  <si>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</si>
  <si>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</si>
  <si>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</si>
  <si>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</si>
  <si>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</si>
  <si>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</si>
  <si>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</si>
  <si>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</si>
  <si>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</si>
  <si>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</si>
  <si>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</si>
  <si>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</si>
  <si>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</si>
  <si>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</si>
  <si>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</si>
  <si>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</si>
  <si>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</si>
  <si>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</si>
  <si>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</si>
  <si>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</si>
  <si>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</si>
  <si>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</si>
  <si>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</si>
  <si>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</si>
  <si>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</si>
  <si>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</si>
  <si>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</si>
  <si>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</si>
  <si>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</si>
  <si>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</si>
  <si>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</si>
  <si>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</si>
  <si>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</si>
  <si>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</si>
  <si>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</si>
  <si>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</si>
  <si>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</si>
  <si>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</si>
  <si>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</si>
  <si>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</si>
  <si>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</si>
  <si>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</si>
  <si>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</si>
  <si>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</si>
  <si>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</si>
  <si>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</si>
  <si>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</si>
  <si>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</si>
  <si>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</si>
  <si>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</si>
  <si>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</si>
  <si>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</si>
  <si>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</si>
  <si>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</si>
  <si>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</si>
  <si>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</si>
  <si>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</si>
  <si>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</si>
  <si>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</si>
  <si>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</si>
  <si>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</si>
  <si>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</si>
  <si>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</si>
  <si>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</si>
  <si>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</si>
  <si>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</si>
  <si>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</si>
  <si>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</si>
  <si>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</si>
  <si>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</si>
  <si>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</si>
  <si>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</si>
  <si>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</si>
  <si>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</si>
  <si>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</si>
  <si>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</si>
  <si>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</si>
  <si>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</si>
  <si>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</si>
  <si>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</si>
  <si>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</si>
  <si>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</si>
  <si>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</si>
  <si>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</si>
  <si>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</si>
  <si>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</si>
  <si>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</si>
  <si>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</si>
  <si>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</si>
  <si>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</si>
  <si>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</si>
  <si>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</si>
  <si>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</si>
  <si>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</si>
  <si>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</si>
  <si>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</si>
  <si>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</si>
  <si>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</si>
  <si>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</si>
  <si>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</si>
  <si>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</si>
  <si>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</si>
  <si>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</si>
  <si>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</si>
  <si>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</si>
  <si>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</si>
  <si>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</si>
  <si>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</si>
  <si>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</si>
  <si>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</si>
  <si>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</si>
  <si>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</si>
  <si>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</si>
  <si>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</si>
  <si>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</si>
  <si>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</si>
  <si>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</si>
  <si>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</si>
  <si>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</si>
  <si>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</si>
  <si>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</si>
  <si>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</si>
  <si>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</si>
  <si>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</si>
  <si>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</si>
  <si>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</si>
  <si>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</si>
  <si>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</si>
  <si>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</si>
  <si>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</si>
  <si>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</si>
  <si>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</si>
  <si>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</si>
  <si>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</si>
  <si>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</si>
  <si>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</si>
  <si>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</si>
  <si>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</si>
  <si>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</si>
  <si>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</si>
  <si>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</si>
  <si>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</si>
  <si>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</si>
  <si>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</si>
  <si>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</si>
  <si>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</si>
  <si>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</si>
  <si>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</si>
  <si>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</si>
  <si>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</si>
  <si>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</si>
  <si>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</si>
  <si>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</si>
  <si>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</si>
  <si>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</si>
  <si>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</si>
  <si>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</si>
  <si>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</si>
  <si>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</si>
  <si>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</si>
  <si>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</si>
  <si>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</si>
  <si>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</si>
  <si>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</si>
  <si>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</si>
  <si>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</si>
  <si>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</si>
  <si>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</si>
  <si>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</si>
  <si>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</si>
  <si>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</si>
  <si>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</si>
  <si>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</si>
  <si>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</si>
  <si>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</si>
  <si>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</si>
  <si>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</si>
  <si>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</si>
  <si>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</si>
  <si>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</si>
  <si>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</si>
  <si>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</si>
  <si>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</si>
  <si>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</si>
  <si>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</si>
  <si>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</si>
  <si>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</si>
  <si>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</si>
  <si>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</si>
  <si>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</si>
  <si>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</si>
  <si>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</si>
  <si>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</si>
  <si>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</si>
  <si>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</si>
  <si>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</si>
  <si>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</si>
  <si>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</si>
  <si>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</si>
  <si>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</si>
  <si>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</si>
  <si>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</si>
  <si>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</si>
  <si>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</si>
  <si>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</si>
  <si>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</si>
  <si>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</si>
  <si>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</si>
  <si>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</si>
  <si>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</si>
  <si>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</si>
  <si>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</si>
  <si>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</si>
  <si>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</si>
  <si>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</si>
  <si>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</si>
  <si>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</si>
  <si>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</si>
  <si>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</si>
  <si>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</si>
  <si>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</si>
  <si>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</si>
  <si>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</si>
  <si>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</si>
  <si>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</si>
  <si>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</si>
  <si>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</si>
  <si>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</si>
  <si>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</si>
  <si>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</si>
  <si>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</si>
  <si>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</si>
  <si>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</si>
  <si>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</si>
  <si>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</si>
  <si>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</si>
  <si>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</si>
  <si>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</si>
  <si>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</si>
  <si>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</si>
  <si>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</si>
  <si>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</si>
  <si>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</si>
  <si>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</si>
  <si>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</si>
  <si>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</si>
  <si>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</si>
  <si>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</si>
  <si>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</si>
  <si>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</si>
  <si>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</si>
  <si>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</si>
  <si>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</si>
  <si>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</si>
  <si>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</si>
  <si>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</si>
  <si>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</si>
  <si>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</si>
  <si>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</si>
  <si>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</si>
  <si>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</si>
  <si>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</si>
  <si>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</si>
  <si>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</si>
  <si>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</si>
  <si>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</si>
  <si>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</si>
  <si>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</si>
  <si>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</si>
  <si>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</si>
  <si>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</si>
  <si>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</si>
  <si>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</si>
  <si>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</si>
  <si>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</si>
  <si>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</si>
  <si>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</si>
  <si>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</si>
  <si>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</si>
  <si>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</si>
  <si>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</si>
  <si>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</si>
  <si>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</si>
  <si>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</si>
  <si>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</si>
  <si>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</si>
  <si>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</si>
  <si>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</si>
  <si>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</si>
  <si>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</si>
  <si>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</si>
  <si>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</si>
  <si>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</si>
  <si>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</si>
  <si>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</si>
  <si>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</si>
  <si>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</si>
  <si>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</si>
  <si>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</si>
  <si>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</si>
  <si>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</si>
  <si>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</si>
  <si>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</si>
  <si>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</si>
  <si>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</si>
  <si>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</si>
  <si>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</si>
  <si>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</si>
  <si>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</si>
  <si>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</si>
  <si>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</si>
  <si>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</si>
  <si>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</si>
  <si>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</si>
  <si>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</si>
  <si>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</si>
  <si>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</si>
  <si>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</si>
  <si>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</si>
  <si>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</si>
  <si>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</si>
  <si>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</si>
  <si>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</si>
  <si>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</si>
  <si>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</si>
  <si>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</si>
  <si>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</si>
  <si>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</si>
  <si>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</si>
  <si>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</si>
  <si>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</si>
  <si>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</si>
  <si>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</si>
  <si>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</si>
  <si>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</si>
  <si>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</si>
  <si>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</si>
  <si>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</si>
  <si>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</si>
  <si>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</si>
  <si>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</si>
  <si>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</si>
  <si>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</si>
  <si>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</si>
  <si>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</si>
  <si>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</si>
  <si>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</si>
  <si>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</si>
  <si>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</si>
  <si>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</si>
  <si>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</si>
  <si>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</si>
  <si>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</si>
  <si>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</si>
  <si>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</si>
  <si>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</si>
  <si>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</si>
  <si>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</si>
  <si>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</si>
  <si>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</si>
  <si>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</si>
  <si>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</si>
  <si>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</si>
  <si>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</si>
  <si>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</si>
  <si>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</si>
  <si>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</si>
  <si>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</si>
  <si>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</si>
  <si>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</si>
  <si>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</si>
  <si>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</si>
  <si>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</si>
  <si>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</si>
  <si>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</si>
  <si>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</si>
  <si>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</si>
  <si>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</si>
  <si>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</si>
  <si>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</si>
  <si>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</si>
  <si>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</si>
  <si>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</si>
  <si>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</si>
  <si>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</si>
  <si>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</si>
  <si>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</si>
  <si>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</si>
  <si>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</si>
  <si>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</si>
  <si>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</si>
  <si>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</si>
  <si>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</si>
  <si>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</si>
  <si>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</si>
  <si>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</si>
  <si>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</si>
  <si>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</si>
  <si>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</si>
  <si>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</si>
  <si>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</si>
  <si>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</si>
  <si>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</si>
  <si>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</si>
  <si>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</si>
  <si>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</si>
  <si>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</si>
  <si>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</si>
  <si>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</si>
  <si>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</si>
  <si>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</si>
  <si>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</si>
  <si>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</si>
  <si>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</si>
  <si>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</si>
  <si>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</si>
  <si>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</si>
  <si>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</si>
  <si>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</si>
  <si>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</si>
  <si>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</si>
  <si>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</si>
  <si>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</si>
  <si>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</si>
  <si>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</si>
  <si>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</si>
  <si>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</si>
  <si>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</si>
  <si>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</si>
  <si>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</si>
  <si>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</si>
  <si>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</si>
  <si>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</si>
  <si>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</si>
  <si>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</si>
  <si>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</si>
  <si>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</si>
  <si>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</si>
  <si>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</si>
  <si>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</si>
  <si>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</si>
  <si>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</si>
  <si>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</si>
  <si>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</si>
  <si>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</si>
  <si>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</si>
  <si>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</si>
  <si>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</si>
  <si>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</si>
  <si>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</si>
  <si>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</si>
  <si>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</si>
  <si>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</si>
  <si>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</si>
  <si>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</si>
  <si>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</si>
  <si>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</si>
  <si>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</si>
  <si>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</si>
  <si>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</si>
  <si>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</si>
  <si>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</si>
  <si>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</si>
  <si>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</si>
  <si>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</si>
  <si>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</si>
  <si>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</si>
  <si>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</si>
  <si>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</si>
  <si>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</si>
  <si>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</si>
  <si>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</si>
  <si>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</si>
  <si>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</si>
  <si>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</si>
  <si>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</si>
  <si>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</si>
  <si>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</si>
  <si>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</si>
  <si>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</si>
  <si>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</si>
  <si>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</si>
  <si>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</si>
  <si>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</si>
  <si>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</si>
  <si>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</si>
  <si>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</si>
  <si>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</si>
  <si>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</si>
  <si>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</si>
  <si>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</si>
  <si>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</si>
  <si>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</si>
  <si>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</si>
  <si>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</si>
  <si>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</si>
  <si>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</si>
  <si>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</si>
  <si>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</si>
  <si>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</si>
  <si>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</si>
  <si>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</si>
  <si>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</si>
  <si>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</si>
  <si>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</si>
  <si>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</si>
  <si>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</si>
  <si>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</si>
  <si>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</si>
  <si>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</si>
  <si>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</si>
  <si>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</si>
  <si>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</si>
  <si>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</si>
  <si>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</si>
  <si>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</si>
  <si>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</si>
  <si>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</si>
  <si>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</si>
  <si>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</si>
  <si>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</si>
  <si>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</si>
  <si>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</si>
  <si>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</si>
  <si>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</si>
  <si>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</si>
  <si>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</si>
  <si>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</si>
  <si>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</si>
  <si>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</si>
  <si>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</si>
  <si>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</si>
  <si>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</si>
  <si>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</si>
  <si>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</si>
  <si>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</si>
  <si>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</si>
  <si>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</si>
  <si>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</si>
  <si>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</si>
  <si>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</si>
  <si>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</si>
  <si>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</si>
  <si>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</si>
  <si>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</si>
  <si>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</si>
  <si>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</si>
  <si>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</si>
  <si>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</si>
  <si>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</si>
  <si>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</si>
  <si>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</si>
  <si>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</si>
  <si>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</si>
  <si>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</si>
  <si>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</si>
  <si>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</si>
  <si>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</si>
  <si>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</si>
  <si>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</si>
  <si>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</si>
  <si>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</si>
  <si>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</si>
  <si>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</si>
  <si>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</si>
  <si>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</si>
  <si>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</si>
  <si>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</si>
  <si>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</si>
  <si>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</si>
  <si>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</si>
  <si>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</si>
  <si>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</si>
  <si>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</si>
  <si>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</si>
  <si>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</si>
  <si>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</si>
  <si>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</si>
  <si>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</si>
  <si>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</si>
  <si>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</si>
  <si>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</si>
  <si>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</si>
  <si>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</si>
  <si>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</si>
  <si>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</si>
  <si>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</si>
  <si>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</si>
  <si>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</si>
  <si>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</si>
  <si>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</si>
  <si>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</si>
  <si>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</si>
  <si>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</si>
  <si>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</si>
  <si>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</si>
  <si>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</si>
  <si>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</si>
  <si>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</si>
  <si>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</si>
  <si>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</si>
  <si>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</si>
  <si>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</si>
  <si>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</si>
  <si>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</si>
  <si>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</si>
  <si>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</si>
  <si>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</si>
  <si>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</si>
  <si>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</si>
  <si>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</si>
  <si>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</si>
  <si>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</si>
  <si>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</si>
  <si>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</si>
  <si>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</si>
  <si>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</si>
  <si>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</si>
  <si>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</si>
  <si>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</si>
  <si>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</si>
  <si>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</si>
  <si>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</si>
  <si>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</si>
  <si>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</si>
  <si>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</si>
  <si>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</si>
  <si>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</si>
  <si>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</si>
  <si>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</si>
  <si>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</si>
  <si>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</si>
  <si>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</si>
  <si>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</si>
  <si>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</si>
  <si>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</si>
  <si>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</si>
  <si>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</si>
  <si>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</si>
  <si>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</si>
  <si>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</si>
  <si>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</si>
  <si>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</si>
  <si>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</si>
  <si>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</si>
  <si>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</si>
  <si>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</si>
  <si>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</si>
  <si>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</si>
  <si>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</si>
  <si>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</si>
  <si>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</si>
  <si>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</si>
  <si>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</si>
  <si>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</si>
  <si>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</si>
  <si>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</si>
  <si>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</si>
  <si>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</si>
  <si>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</si>
  <si>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</si>
  <si>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</si>
  <si>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</si>
  <si>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</si>
  <si>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</si>
  <si>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</si>
  <si>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</si>
  <si>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</si>
  <si>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</si>
  <si>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</si>
  <si>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</si>
  <si>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</si>
  <si>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</si>
  <si>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</si>
  <si>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</si>
  <si>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</si>
  <si>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</si>
  <si>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</si>
  <si>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</si>
  <si>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</si>
  <si>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</si>
  <si>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</si>
  <si>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</si>
  <si>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</si>
  <si>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</si>
  <si>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</si>
  <si>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</si>
  <si>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</si>
  <si>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</si>
  <si>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</si>
  <si>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</si>
  <si>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</si>
  <si>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</si>
  <si>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</si>
  <si>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</si>
  <si>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</si>
  <si>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</si>
  <si>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</si>
  <si>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</si>
  <si>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</si>
  <si>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</si>
  <si>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</si>
  <si>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</si>
  <si>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</si>
  <si>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</si>
  <si>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</si>
  <si>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</si>
  <si>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</si>
  <si>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</si>
  <si>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</si>
  <si>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</si>
  <si>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</si>
  <si>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</si>
  <si>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</si>
  <si>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</si>
  <si>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</si>
  <si>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</si>
  <si>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</si>
  <si>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</si>
  <si>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</si>
  <si>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</si>
  <si>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</si>
  <si>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</si>
  <si>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</si>
  <si>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</si>
  <si>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</si>
  <si>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</si>
  <si>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</si>
  <si>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</si>
  <si>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</si>
  <si>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</si>
  <si>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</si>
  <si>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</si>
  <si>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</si>
  <si>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</si>
  <si>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</si>
  <si>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</si>
  <si>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</si>
  <si>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</si>
  <si>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</si>
  <si>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</si>
  <si>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</si>
  <si>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</si>
  <si>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</si>
  <si>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</si>
  <si>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</si>
  <si>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</si>
  <si>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</si>
  <si>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</si>
  <si>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</si>
  <si>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</si>
  <si>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</si>
  <si>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</si>
  <si>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</si>
  <si>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</si>
  <si>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</si>
  <si>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</si>
  <si>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</si>
  <si>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</si>
  <si>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</si>
  <si>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</si>
  <si>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</si>
  <si>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</si>
  <si>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</si>
  <si>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</si>
  <si>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</si>
  <si>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</si>
  <si>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</si>
  <si>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</si>
  <si>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</si>
  <si>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</si>
  <si>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</si>
  <si>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</si>
  <si>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</si>
  <si>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</si>
  <si>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</si>
  <si>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</si>
  <si>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</si>
  <si>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</si>
  <si>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</si>
  <si>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</si>
  <si>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</si>
  <si>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</si>
  <si>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</si>
  <si>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</si>
  <si>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</si>
  <si>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</si>
  <si>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</si>
  <si>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</si>
  <si>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</si>
  <si>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</si>
  <si>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</si>
  <si>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</si>
  <si>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</si>
  <si>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</si>
  <si>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</si>
  <si>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</si>
  <si>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</si>
  <si>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</si>
  <si>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</si>
  <si>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</si>
  <si>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</si>
  <si>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</si>
  <si>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</si>
  <si>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</si>
  <si>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</si>
  <si>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</si>
  <si>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</si>
  <si>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</si>
  <si>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</si>
  <si>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</si>
  <si>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</si>
  <si>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</si>
  <si>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</si>
  <si>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</si>
  <si>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</si>
  <si>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</si>
  <si>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</si>
  <si>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</si>
  <si>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</si>
  <si>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</si>
  <si>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</si>
  <si>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</si>
  <si>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</si>
  <si>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</si>
  <si>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</si>
  <si>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</si>
  <si>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</si>
  <si>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</si>
  <si>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</si>
  <si>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</si>
  <si>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</si>
  <si>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</si>
  <si>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</si>
  <si>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</si>
  <si>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</si>
  <si>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</si>
  <si>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</si>
  <si>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</si>
  <si>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</si>
  <si>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</si>
  <si>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</si>
  <si>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</si>
  <si>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</si>
  <si>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</si>
  <si>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</si>
  <si>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</si>
  <si>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</si>
  <si>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</si>
  <si>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</si>
  <si>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</si>
  <si>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</si>
  <si>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</si>
  <si>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</si>
  <si>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</si>
  <si>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</si>
  <si>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</si>
  <si>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</si>
  <si>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</si>
  <si>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</si>
  <si>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</si>
  <si>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</si>
  <si>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</si>
  <si>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</si>
  <si>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</si>
  <si>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</si>
  <si>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</si>
  <si>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</si>
  <si>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</si>
  <si>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</si>
  <si>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</si>
  <si>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</si>
  <si>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</si>
  <si>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</si>
  <si>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</si>
  <si>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</si>
  <si>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</si>
  <si>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</si>
  <si>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</si>
  <si>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</si>
  <si>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</si>
  <si>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</si>
  <si>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</si>
  <si>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</si>
  <si>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</si>
  <si>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</si>
  <si>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</si>
  <si>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</si>
  <si>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</si>
  <si>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</si>
  <si>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</si>
  <si>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</si>
  <si>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</si>
  <si>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</si>
  <si>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</si>
  <si>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</si>
  <si>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</si>
  <si>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</si>
  <si>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</si>
  <si>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</si>
  <si>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</si>
  <si>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</si>
  <si>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</si>
  <si>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</si>
  <si>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</si>
  <si>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</si>
  <si>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</si>
  <si>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</si>
  <si>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</si>
  <si>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</si>
  <si>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</si>
  <si>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</si>
  <si>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</si>
  <si>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</si>
  <si>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</si>
  <si>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</si>
  <si>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</si>
  <si>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</si>
  <si>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</si>
  <si>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</si>
  <si>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</si>
  <si>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</si>
  <si>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</si>
  <si>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</si>
  <si>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</si>
  <si>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</si>
  <si>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</si>
  <si>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</si>
  <si>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</si>
  <si>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</si>
  <si>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</si>
  <si>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</si>
  <si>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</si>
  <si>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</si>
  <si>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</si>
  <si>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</si>
  <si>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</si>
  <si>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</si>
  <si>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</si>
  <si>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</si>
  <si>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</si>
  <si>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</si>
  <si>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</si>
  <si>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</si>
  <si>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</si>
  <si>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</si>
  <si>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</si>
  <si>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</si>
  <si>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</si>
  <si>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</si>
  <si>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</si>
  <si>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</si>
  <si>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</si>
  <si>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</si>
  <si>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</si>
  <si>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</si>
  <si>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</si>
  <si>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</si>
  <si>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</si>
  <si>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</si>
  <si>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</si>
  <si>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</si>
  <si>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</si>
  <si>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</si>
  <si>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</si>
  <si>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</si>
  <si>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</si>
  <si>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</si>
  <si>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</si>
  <si>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</si>
  <si>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</si>
  <si>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</si>
  <si>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</si>
  <si>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</si>
  <si>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</si>
  <si>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</si>
  <si>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</si>
  <si>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</si>
  <si>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</si>
  <si>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</si>
  <si>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</si>
  <si>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</si>
  <si>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</si>
  <si>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</si>
  <si>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</si>
  <si>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</si>
  <si>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</si>
  <si>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</si>
  <si>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</si>
  <si>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</si>
  <si>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</si>
  <si>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</si>
  <si>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</si>
  <si>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</si>
  <si>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</si>
  <si>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</si>
  <si>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</si>
  <si>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</si>
  <si>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</si>
  <si>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</si>
  <si>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</si>
  <si>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</si>
  <si>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</si>
  <si>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</si>
  <si>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</si>
  <si>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</si>
  <si>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</si>
  <si>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</si>
  <si>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</si>
  <si>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</si>
  <si>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</si>
  <si>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</si>
  <si>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</si>
  <si>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</si>
  <si>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</si>
  <si>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</si>
  <si>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</si>
  <si>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</si>
  <si>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</si>
  <si>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</si>
  <si>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</si>
  <si>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</si>
  <si>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</si>
  <si>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</si>
  <si>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</si>
  <si>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</si>
  <si>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</si>
  <si>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</si>
  <si>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</si>
  <si>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</si>
  <si>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</si>
  <si>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</si>
  <si>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</si>
  <si>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</si>
  <si>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</si>
  <si>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</si>
  <si>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</si>
  <si>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</si>
  <si>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</si>
  <si>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</si>
  <si>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</si>
  <si>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</si>
  <si>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</si>
  <si>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</si>
  <si>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</si>
  <si>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</si>
  <si>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</si>
  <si>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</si>
  <si>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</si>
  <si>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</si>
  <si>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</si>
  <si>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</si>
  <si>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</si>
  <si>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</si>
  <si>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</si>
  <si>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</si>
  <si>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</si>
  <si>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</si>
  <si>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</si>
  <si>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</si>
  <si>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</si>
  <si>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</si>
  <si>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</si>
  <si>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</si>
  <si>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</si>
  <si>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</si>
  <si>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</si>
  <si>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</si>
  <si>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</si>
  <si>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</si>
  <si>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</si>
  <si>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</si>
  <si>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</si>
  <si>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</si>
  <si>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</si>
  <si>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</si>
  <si>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</si>
  <si>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</si>
  <si>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</si>
  <si>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</si>
  <si>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</si>
  <si>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</si>
  <si>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</si>
  <si>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</si>
  <si>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</si>
  <si>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</si>
  <si>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</si>
  <si>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</si>
  <si>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</si>
  <si>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</si>
  <si>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</si>
  <si>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</si>
  <si>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</si>
  <si>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</si>
  <si>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</si>
  <si>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</si>
  <si>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</si>
  <si>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</si>
  <si>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</si>
  <si>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</si>
  <si>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</si>
  <si>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</si>
  <si>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</si>
  <si>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</si>
  <si>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</si>
  <si>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</si>
  <si>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</si>
  <si>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</si>
  <si>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</si>
  <si>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</si>
  <si>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</si>
  <si>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</si>
  <si>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</si>
  <si>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</si>
  <si>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</si>
  <si>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</si>
  <si>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</si>
  <si>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</si>
  <si>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</si>
  <si>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</si>
  <si>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</si>
  <si>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</si>
  <si>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</si>
  <si>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</si>
  <si>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</si>
  <si>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</si>
  <si>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</si>
  <si>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</si>
  <si>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</si>
  <si>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</si>
  <si>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</si>
  <si>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</si>
  <si>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</si>
  <si>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</si>
  <si>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</si>
  <si>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</si>
  <si>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</si>
  <si>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</si>
  <si>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</si>
  <si>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</si>
  <si>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</si>
  <si>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</si>
  <si>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</si>
  <si>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</si>
  <si>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</si>
  <si>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</si>
  <si>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</si>
  <si>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</si>
  <si>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</si>
  <si>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</si>
  <si>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</si>
  <si>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</si>
  <si>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</si>
  <si>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</si>
  <si>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</si>
  <si>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</si>
  <si>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</si>
  <si>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</si>
  <si>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</si>
  <si>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</si>
  <si>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</si>
  <si>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</si>
  <si>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</si>
  <si>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</si>
  <si>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</si>
  <si>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</si>
  <si>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</si>
  <si>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</si>
  <si>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</si>
  <si>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</si>
  <si>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</si>
  <si>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</si>
  <si>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</si>
  <si>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</si>
  <si>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</si>
  <si>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</si>
  <si>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</si>
  <si>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</si>
  <si>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</si>
  <si>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</si>
  <si>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</si>
  <si>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</si>
  <si>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</si>
  <si>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</si>
  <si>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</si>
  <si>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</si>
  <si>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</si>
  <si>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</si>
  <si>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</si>
  <si>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</si>
  <si>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</si>
  <si>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</si>
  <si>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</si>
  <si>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</si>
  <si>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</si>
  <si>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</si>
  <si>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</si>
  <si>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</si>
  <si>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</si>
  <si>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</si>
  <si>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</si>
  <si>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</si>
  <si>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</si>
  <si>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</si>
  <si>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</si>
  <si>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</si>
  <si>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</si>
  <si>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</si>
  <si>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</si>
  <si>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</si>
  <si>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</si>
  <si>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</si>
  <si>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</si>
  <si>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</si>
  <si>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</si>
  <si>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</si>
  <si>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</si>
  <si>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</si>
  <si>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</si>
  <si>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</si>
  <si>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</si>
  <si>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</si>
  <si>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</si>
  <si>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</si>
  <si>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</si>
  <si>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</si>
  <si>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</si>
  <si>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</si>
  <si>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</si>
  <si>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</si>
  <si>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</si>
  <si>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</si>
  <si>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</si>
  <si>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</si>
  <si>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</si>
  <si>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</si>
  <si>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</si>
  <si>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</si>
  <si>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</si>
  <si>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</si>
  <si>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</si>
  <si>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</si>
  <si>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</si>
  <si>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</si>
  <si>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</si>
  <si>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</si>
  <si>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</si>
  <si>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</si>
  <si>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</si>
  <si>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</si>
  <si>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</si>
  <si>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</si>
  <si>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</si>
  <si>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</si>
  <si>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</si>
  <si>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</si>
  <si>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</si>
  <si>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</si>
  <si>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</si>
  <si>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</si>
  <si>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</si>
  <si>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</si>
  <si>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</si>
  <si>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</si>
  <si>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</si>
  <si>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</si>
  <si>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</si>
  <si>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</si>
  <si>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</si>
  <si>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</si>
  <si>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</si>
  <si>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</si>
  <si>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</si>
  <si>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</si>
  <si>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</si>
  <si>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</si>
  <si>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</si>
  <si>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</si>
  <si>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</si>
  <si>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</si>
  <si>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</si>
  <si>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</si>
  <si>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</si>
  <si>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</si>
  <si>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</si>
  <si>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</si>
  <si>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</si>
  <si>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</si>
  <si>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</si>
  <si>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</si>
  <si>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</si>
  <si>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</si>
  <si>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</si>
  <si>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</si>
  <si>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</si>
  <si>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</si>
  <si>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</si>
  <si>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</si>
  <si>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</si>
  <si>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</si>
  <si>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</si>
  <si>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</si>
  <si>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</si>
  <si>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</si>
  <si>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</si>
  <si>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</si>
  <si>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</si>
  <si>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</si>
  <si>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</si>
  <si>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</si>
  <si>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</si>
  <si>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</si>
  <si>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</si>
  <si>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</si>
  <si>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</si>
  <si>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</si>
  <si>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</si>
  <si>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</si>
  <si>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</si>
  <si>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</si>
  <si>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</si>
  <si>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</si>
  <si>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</si>
  <si>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</si>
  <si>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</si>
  <si>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</si>
  <si>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</si>
  <si>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</si>
  <si>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</si>
  <si>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</si>
  <si>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</si>
  <si>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</si>
  <si>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</si>
  <si>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</si>
  <si>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</si>
  <si>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</si>
  <si>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</si>
  <si>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</si>
  <si>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</si>
  <si>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</si>
  <si>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</si>
  <si>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</si>
  <si>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</si>
  <si>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</si>
  <si>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</si>
  <si>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</si>
  <si>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</si>
  <si>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</si>
  <si>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</si>
  <si>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</si>
  <si>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</si>
  <si>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</si>
  <si>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</si>
  <si>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</si>
  <si>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</si>
  <si>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</si>
  <si>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</si>
  <si>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</si>
  <si>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</si>
  <si>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</si>
  <si>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</si>
  <si>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</si>
  <si>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</si>
  <si>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</si>
  <si>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</si>
  <si>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</si>
  <si>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</si>
  <si>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</si>
  <si>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</si>
  <si>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</si>
  <si>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</si>
  <si>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</si>
  <si>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</si>
  <si>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</si>
  <si>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</si>
  <si>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</si>
  <si>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</si>
  <si>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</si>
  <si>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</si>
  <si>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</si>
  <si>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</si>
  <si>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</si>
  <si>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</si>
  <si>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</si>
  <si>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</si>
  <si>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</si>
  <si>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</si>
  <si>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</si>
  <si>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</si>
  <si>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</si>
  <si>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</si>
  <si>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</si>
  <si>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</si>
  <si>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</si>
  <si>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</si>
  <si>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</si>
  <si>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</si>
  <si>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</si>
  <si>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</si>
  <si>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</si>
  <si>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</si>
  <si>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</si>
  <si>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</si>
  <si>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</si>
  <si>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</si>
  <si>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</si>
  <si>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</si>
  <si>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</si>
  <si>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</si>
  <si>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</si>
  <si>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</si>
  <si>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</si>
  <si>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</si>
  <si>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</si>
  <si>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</si>
  <si>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</si>
  <si>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</si>
  <si>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</si>
  <si>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</si>
  <si>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</si>
  <si>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</si>
  <si>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</si>
  <si>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</si>
  <si>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</si>
  <si>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</si>
  <si>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</si>
  <si>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</si>
  <si>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</si>
  <si>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</si>
  <si>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</si>
  <si>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</si>
  <si>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</si>
  <si>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</si>
  <si>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</si>
  <si>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</si>
  <si>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</si>
  <si>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</si>
  <si>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</si>
  <si>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</si>
  <si>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</si>
  <si>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</si>
  <si>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</si>
  <si>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</si>
  <si>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</si>
  <si>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</si>
  <si>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</si>
  <si>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</si>
  <si>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</si>
  <si>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</si>
  <si>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</si>
  <si>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</si>
  <si>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</si>
  <si>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</si>
  <si>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</si>
  <si>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</si>
  <si>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</si>
  <si>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</si>
  <si>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</si>
  <si>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</si>
  <si>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</si>
  <si>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</si>
  <si>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</si>
  <si>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</si>
  <si>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</si>
  <si>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</si>
  <si>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</si>
  <si>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</si>
  <si>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</si>
  <si>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</si>
  <si>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</si>
  <si>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</si>
  <si>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</si>
  <si>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</si>
  <si>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</si>
  <si>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</si>
  <si>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</si>
  <si>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</si>
  <si>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</si>
  <si>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</si>
  <si>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</si>
  <si>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</si>
  <si>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</si>
  <si>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</si>
  <si>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</si>
  <si>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</si>
  <si>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</si>
  <si>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</si>
  <si>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</si>
  <si>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</si>
  <si>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</si>
  <si>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</si>
  <si>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</si>
  <si>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</si>
  <si>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</si>
  <si>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</si>
  <si>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</si>
  <si>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</si>
  <si>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</si>
  <si>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</si>
  <si>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</si>
  <si>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</si>
  <si>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</si>
  <si>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</si>
  <si>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</si>
  <si>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</si>
  <si>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</si>
  <si>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</si>
  <si>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</si>
  <si>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</si>
  <si>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</si>
  <si>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</si>
  <si>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</si>
  <si>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</si>
  <si>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</si>
  <si>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</si>
  <si>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</si>
  <si>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</si>
  <si>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</si>
  <si>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</si>
  <si>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</si>
  <si>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</si>
  <si>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</si>
  <si>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</si>
  <si>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</si>
  <si>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</si>
  <si>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</si>
  <si>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</si>
  <si>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</si>
  <si>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</si>
  <si>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</si>
  <si>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</si>
  <si>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</si>
  <si>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</si>
  <si>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</si>
  <si>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</si>
  <si>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</si>
  <si>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</si>
  <si>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</si>
  <si>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</si>
  <si>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</si>
  <si>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</si>
  <si>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</si>
  <si>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</si>
  <si>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</si>
  <si>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</si>
  <si>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</si>
  <si>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</si>
  <si>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</si>
  <si>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</si>
  <si>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</si>
  <si>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</si>
  <si>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</si>
  <si>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</si>
  <si>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</si>
  <si>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</si>
  <si>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</si>
  <si>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</si>
  <si>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</si>
  <si>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</si>
  <si>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</si>
  <si>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</si>
  <si>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</si>
  <si>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</si>
  <si>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</si>
  <si>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</si>
  <si>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</si>
  <si>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</si>
  <si>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</si>
  <si>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</si>
  <si>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</si>
  <si>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</si>
  <si>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</si>
  <si>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</si>
  <si>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</si>
  <si>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</si>
  <si>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</si>
  <si>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</si>
  <si>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</si>
  <si>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</si>
  <si>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</si>
  <si>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</si>
  <si>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</si>
  <si>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</si>
  <si>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</si>
  <si>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</si>
  <si>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</si>
  <si>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</si>
  <si>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</si>
  <si>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</si>
  <si>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</si>
  <si>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</si>
  <si>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</si>
  <si>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</si>
  <si>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</si>
  <si>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</si>
  <si>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</si>
  <si>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</si>
  <si>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</si>
  <si>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</si>
  <si>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</si>
  <si>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</si>
  <si>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</si>
  <si>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</si>
  <si>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</si>
  <si>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</si>
  <si>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</si>
  <si>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</si>
  <si>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</si>
  <si>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</si>
  <si>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</si>
  <si>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</si>
  <si>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</si>
  <si>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</si>
  <si>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</si>
  <si>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</si>
  <si>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</si>
  <si>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</si>
  <si>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</si>
  <si>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</si>
  <si>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</si>
  <si>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</si>
  <si>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</si>
  <si>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</si>
  <si>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</si>
  <si>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</si>
  <si>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</si>
  <si>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</si>
  <si>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</si>
  <si>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</si>
  <si>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</si>
  <si>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</si>
  <si>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</si>
  <si>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</si>
  <si>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</si>
  <si>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</si>
  <si>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</si>
  <si>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</si>
  <si>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</si>
  <si>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</si>
  <si>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</si>
  <si>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</si>
  <si>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</si>
  <si>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</si>
  <si>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</si>
  <si>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</si>
  <si>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</si>
  <si>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</si>
  <si>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</si>
  <si>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</si>
  <si>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</si>
  <si>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</si>
  <si>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</si>
  <si>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</si>
  <si>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</si>
  <si>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</si>
  <si>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</si>
  <si>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</si>
  <si>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</si>
  <si>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</si>
  <si>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</si>
  <si>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</si>
  <si>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</si>
  <si>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</si>
  <si>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</si>
  <si>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</si>
  <si>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</si>
  <si>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</si>
  <si>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</si>
  <si>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</si>
  <si>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</si>
  <si>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</si>
  <si>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</si>
  <si>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</si>
  <si>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</si>
  <si>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</si>
  <si>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</si>
  <si>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</si>
  <si>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</si>
  <si>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</si>
  <si>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</si>
  <si>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</si>
  <si>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</si>
  <si>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</si>
  <si>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</si>
  <si>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</si>
  <si>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</si>
  <si>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</si>
  <si>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</si>
  <si>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</si>
  <si>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</si>
  <si>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</si>
  <si>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</si>
  <si>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</si>
  <si>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</si>
  <si>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</si>
  <si>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</si>
  <si>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</si>
  <si>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</si>
  <si>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</si>
  <si>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</si>
  <si>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</si>
  <si>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</si>
  <si>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</si>
  <si>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</si>
  <si>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</si>
  <si>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</si>
  <si>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</si>
  <si>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</si>
  <si>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</si>
  <si>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</si>
  <si>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</si>
  <si>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</si>
  <si>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</si>
  <si>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</si>
  <si>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</si>
  <si>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</si>
  <si>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</si>
  <si>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</si>
  <si>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</si>
  <si>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</si>
  <si>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</si>
  <si>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</si>
  <si>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</si>
  <si>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</si>
  <si>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</si>
  <si>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</si>
  <si>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</si>
  <si>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</si>
  <si>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</si>
  <si>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</si>
  <si>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</si>
  <si>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</si>
  <si>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</si>
  <si>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</si>
  <si>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</si>
  <si>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</si>
  <si>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</si>
  <si>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</si>
  <si>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</si>
  <si>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</si>
  <si>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</si>
  <si>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</si>
  <si>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</si>
  <si>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</si>
  <si>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</si>
  <si>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</si>
  <si>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</si>
  <si>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</si>
  <si>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</si>
  <si>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</si>
  <si>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</si>
  <si>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</si>
  <si>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</si>
  <si>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</si>
  <si>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</si>
  <si>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</si>
  <si>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</si>
  <si>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</si>
  <si>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</si>
  <si>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</si>
  <si>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</si>
  <si>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</si>
  <si>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</si>
  <si>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</si>
  <si>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</si>
  <si>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</si>
  <si>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</si>
  <si>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</si>
  <si>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</si>
  <si>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</si>
  <si>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</si>
  <si>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</si>
  <si>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</si>
  <si>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</si>
  <si>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</si>
  <si>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</si>
  <si>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</si>
  <si>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</si>
  <si>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</si>
  <si>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</si>
  <si>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</si>
  <si>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</si>
  <si>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</si>
  <si>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</si>
  <si>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</si>
  <si>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</si>
  <si>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</si>
  <si>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</si>
  <si>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</si>
  <si>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</si>
  <si>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</si>
  <si>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</si>
  <si>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</si>
  <si>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</si>
  <si>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</si>
  <si>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</si>
  <si>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</si>
  <si>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</si>
  <si>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</si>
  <si>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</si>
  <si>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</si>
  <si>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</si>
  <si>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</si>
  <si>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</si>
  <si>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</si>
  <si>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</si>
  <si>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</si>
  <si>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</si>
  <si>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</si>
  <si>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</si>
  <si>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</si>
  <si>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</si>
  <si>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</si>
  <si>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</si>
  <si>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</si>
  <si>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</si>
  <si>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</si>
  <si>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</si>
  <si>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</si>
  <si>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</si>
  <si>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</si>
  <si>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</si>
  <si>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</si>
  <si>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</si>
  <si>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</si>
  <si>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</si>
  <si>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</si>
  <si>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</si>
  <si>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</si>
  <si>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</si>
  <si>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</si>
  <si>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</si>
  <si>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</si>
  <si>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</si>
  <si>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</si>
  <si>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</si>
  <si>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</si>
  <si>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</si>
  <si>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</si>
  <si>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</si>
  <si>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</si>
  <si>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</si>
  <si>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</si>
  <si>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</si>
  <si>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</si>
  <si>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</si>
  <si>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</si>
  <si>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</si>
  <si>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</si>
  <si>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</si>
  <si>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</si>
  <si>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</si>
  <si>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</si>
  <si>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</si>
  <si>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</si>
  <si>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</si>
  <si>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</si>
  <si>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</si>
  <si>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</si>
  <si>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</si>
  <si>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</si>
  <si>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</si>
  <si>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</si>
  <si>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</si>
  <si>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</si>
  <si>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</si>
  <si>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</si>
  <si>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</si>
  <si>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</si>
  <si>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</si>
  <si>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</si>
  <si>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</si>
  <si>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</si>
  <si>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</si>
  <si>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</si>
  <si>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</si>
  <si>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</si>
  <si>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</si>
  <si>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</si>
  <si>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</si>
  <si>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</si>
  <si>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</si>
  <si>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</si>
  <si>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</si>
  <si>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</si>
  <si>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</si>
  <si>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</si>
  <si>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</si>
  <si>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</si>
  <si>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</si>
  <si>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</si>
  <si>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</si>
  <si>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</si>
  <si>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</si>
  <si>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</si>
  <si>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</si>
  <si>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</si>
  <si>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</si>
  <si>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</si>
  <si>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</si>
  <si>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</si>
  <si>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</si>
  <si>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</si>
  <si>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</si>
  <si>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</si>
  <si>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</si>
  <si>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</si>
  <si>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</si>
  <si>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</si>
  <si>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</si>
  <si>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</si>
  <si>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</si>
  <si>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</si>
  <si>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</si>
  <si>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</si>
  <si>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</si>
  <si>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</si>
  <si>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</si>
  <si>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</si>
  <si>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</si>
  <si>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</si>
  <si>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</si>
  <si>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</si>
  <si>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</si>
  <si>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</si>
  <si>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</si>
  <si>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</si>
  <si>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</si>
  <si>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</si>
  <si>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</si>
  <si>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</si>
  <si>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</si>
  <si>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</si>
  <si>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</si>
  <si>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</si>
  <si>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</si>
  <si>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</si>
  <si>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</si>
  <si>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</si>
  <si>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</si>
  <si>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</si>
  <si>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</si>
  <si>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</si>
  <si>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</si>
  <si>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</si>
  <si>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</si>
  <si>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</si>
  <si>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</si>
  <si>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</si>
  <si>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</si>
  <si>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</si>
  <si>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</si>
  <si>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</si>
  <si>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</si>
  <si>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</si>
  <si>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</si>
  <si>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</si>
  <si>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</si>
  <si>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</si>
  <si>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</si>
  <si>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</si>
  <si>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</si>
  <si>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</si>
  <si>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</si>
  <si>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</si>
  <si>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</si>
  <si>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</si>
  <si>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</si>
  <si>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</si>
  <si>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</si>
  <si>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</si>
  <si>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</si>
  <si>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</si>
  <si>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</si>
  <si>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</si>
  <si>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</si>
  <si>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</si>
  <si>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</si>
  <si>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</si>
  <si>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</si>
  <si>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</si>
  <si>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</si>
  <si>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</si>
  <si>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</si>
  <si>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</si>
  <si>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</si>
  <si>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</si>
  <si>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</si>
  <si>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</si>
  <si>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</si>
  <si>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</si>
  <si>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</si>
  <si>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</si>
  <si>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</si>
  <si>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</si>
  <si>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</si>
  <si>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</si>
  <si>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</si>
  <si>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</si>
  <si>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</si>
  <si>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</si>
  <si>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</si>
  <si>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</si>
  <si>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</si>
  <si>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</si>
  <si>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</si>
  <si>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</si>
  <si>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</si>
  <si>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</si>
  <si>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</si>
  <si>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</si>
  <si>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</si>
  <si>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</si>
  <si>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</si>
  <si>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</si>
  <si>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</si>
  <si>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</si>
  <si>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</si>
  <si>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</si>
  <si>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</si>
  <si>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</si>
  <si>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</si>
  <si>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</si>
  <si>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</si>
  <si>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</si>
  <si>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</si>
  <si>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</si>
  <si>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</si>
  <si>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</si>
  <si>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</si>
  <si>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</si>
  <si>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</si>
  <si>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</si>
  <si>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</si>
  <si>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</si>
  <si>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</si>
  <si>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</si>
  <si>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</si>
  <si>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</si>
  <si>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</si>
  <si>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</si>
  <si>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</si>
  <si>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</si>
  <si>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</si>
  <si>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</si>
  <si>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</si>
  <si>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</si>
  <si>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</si>
  <si>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</si>
  <si>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</si>
  <si>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</si>
  <si>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</si>
  <si>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</si>
  <si>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</si>
  <si>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</si>
  <si>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</si>
  <si>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</si>
  <si>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</si>
  <si>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</si>
  <si>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</si>
  <si>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</si>
  <si>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</si>
  <si>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</si>
  <si>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</si>
  <si>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</si>
  <si>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</si>
  <si>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</si>
  <si>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</si>
  <si>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</si>
  <si>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</si>
  <si>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</si>
  <si>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</si>
  <si>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</si>
  <si>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</si>
  <si>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</si>
  <si>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</si>
  <si>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</si>
  <si>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</si>
  <si>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</si>
  <si>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</si>
  <si>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</si>
  <si>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</si>
  <si>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</si>
  <si>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</si>
  <si>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</si>
  <si>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</si>
  <si>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</si>
  <si>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</si>
  <si>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</si>
  <si>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</si>
  <si>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</si>
  <si>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</si>
  <si>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</si>
  <si>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</si>
  <si>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</si>
  <si>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</si>
  <si>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</si>
  <si>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</si>
  <si>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</si>
  <si>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</si>
  <si>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</si>
  <si>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</si>
  <si>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</si>
  <si>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</si>
  <si>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</si>
  <si>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</si>
  <si>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</si>
  <si>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</si>
  <si>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</si>
  <si>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</si>
  <si>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</si>
  <si>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</si>
  <si>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</si>
  <si>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</si>
  <si>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</si>
  <si>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</si>
  <si>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</si>
  <si>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</si>
  <si>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</si>
  <si>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</si>
  <si>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</si>
  <si>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</si>
  <si>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</si>
  <si>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</si>
  <si>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</si>
  <si>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</si>
  <si>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</si>
  <si>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</si>
  <si>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</si>
  <si>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</si>
  <si>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</si>
  <si>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</si>
  <si>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</si>
  <si>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</si>
  <si>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</si>
  <si>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</si>
  <si>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</si>
  <si>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</si>
  <si>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</si>
  <si>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</si>
  <si>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</si>
  <si>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</si>
  <si>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</si>
  <si>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</si>
  <si>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</si>
  <si>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</si>
  <si>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</si>
  <si>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</si>
  <si>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</si>
  <si>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</si>
  <si>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</si>
  <si>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</si>
  <si>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</si>
  <si>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</si>
  <si>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</si>
  <si>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</si>
  <si>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</si>
  <si>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</si>
  <si>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</si>
  <si>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</si>
  <si>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</si>
  <si>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</si>
  <si>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</si>
  <si>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</si>
  <si>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</si>
  <si>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</si>
  <si>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</si>
  <si>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</si>
  <si>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</si>
  <si>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</si>
  <si>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</si>
  <si>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</si>
  <si>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</si>
  <si>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</si>
  <si>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</si>
  <si>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</si>
  <si>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</si>
  <si>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</si>
  <si>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</si>
  <si>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</si>
  <si>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</si>
  <si>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</si>
  <si>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</si>
  <si>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</si>
  <si>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</si>
  <si>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</si>
  <si>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</si>
  <si>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</si>
  <si>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</si>
  <si>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</si>
  <si>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</si>
  <si>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</si>
  <si>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</si>
  <si>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</si>
  <si>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</si>
  <si>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</si>
  <si>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</si>
  <si>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</si>
  <si>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</si>
  <si>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</si>
  <si>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</si>
  <si>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</si>
  <si>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</si>
  <si>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</si>
  <si>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</si>
  <si>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</si>
  <si>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</si>
  <si>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</si>
  <si>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</si>
  <si>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</si>
  <si>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</si>
  <si>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</si>
  <si>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</si>
  <si>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</si>
  <si>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</si>
  <si>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</si>
  <si>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</si>
  <si>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</si>
  <si>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</si>
  <si>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</si>
  <si>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</si>
  <si>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</si>
  <si>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</si>
  <si>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</si>
  <si>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</si>
  <si>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</si>
  <si>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</si>
  <si>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</si>
  <si>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</si>
  <si>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</si>
  <si>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</si>
  <si>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</si>
  <si>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</si>
  <si>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</si>
  <si>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</si>
  <si>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</si>
  <si>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</si>
  <si>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</si>
  <si>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</si>
  <si>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</si>
  <si>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</si>
  <si>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</si>
  <si>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</si>
  <si>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</si>
  <si>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</si>
  <si>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</si>
  <si>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</si>
  <si>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</si>
  <si>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</si>
  <si>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</si>
  <si>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</si>
  <si>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</si>
  <si>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</si>
  <si>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</si>
  <si>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</si>
  <si>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</si>
  <si>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</si>
  <si>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</si>
  <si>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</si>
  <si>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</si>
  <si>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</si>
  <si>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</si>
  <si>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</si>
  <si>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</si>
  <si>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</si>
  <si>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</si>
  <si>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</si>
  <si>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</si>
  <si>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</si>
  <si>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</si>
  <si>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</si>
  <si>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</si>
  <si>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</si>
  <si>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</si>
  <si>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</si>
  <si>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</si>
  <si>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</si>
  <si>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</si>
  <si>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</si>
  <si>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</si>
  <si>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</si>
  <si>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</si>
  <si>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</si>
  <si>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</si>
  <si>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</si>
  <si>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</si>
  <si>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</si>
  <si>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</si>
  <si>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</si>
  <si>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</si>
  <si>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</si>
  <si>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</si>
  <si>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</si>
  <si>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</si>
  <si>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</si>
  <si>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</si>
  <si>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</si>
  <si>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</si>
  <si>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</si>
  <si>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</si>
  <si>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</si>
  <si>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</si>
  <si>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</si>
  <si>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</si>
  <si>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</si>
  <si>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</si>
  <si>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</si>
  <si>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</si>
  <si>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</si>
  <si>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</si>
  <si>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</si>
  <si>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</si>
  <si>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</si>
  <si>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</si>
  <si>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</si>
  <si>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</si>
  <si>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</si>
  <si>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</si>
  <si>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</si>
  <si>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</si>
  <si>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</si>
  <si>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</si>
  <si>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</si>
  <si>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</si>
  <si>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</si>
  <si>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</si>
  <si>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</si>
  <si>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</si>
  <si>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</si>
  <si>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</si>
  <si>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</si>
  <si>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</si>
  <si>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</si>
  <si>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</si>
  <si>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</si>
  <si>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</si>
  <si>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</si>
  <si>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</si>
  <si>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</si>
  <si>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</si>
  <si>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</si>
  <si>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</si>
  <si>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</si>
  <si>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</si>
  <si>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</si>
  <si>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</si>
  <si>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</si>
  <si>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</si>
  <si>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</si>
  <si>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</si>
  <si>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</si>
  <si>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</si>
  <si>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</si>
  <si>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</si>
  <si>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Row Labels</t>
  </si>
  <si>
    <t>Grand Total</t>
  </si>
  <si>
    <t>Count of TX ID</t>
  </si>
  <si>
    <t>Sum of Quantity</t>
  </si>
  <si>
    <t>Sum of Amount</t>
  </si>
  <si>
    <t>Average of Days to Deliver</t>
  </si>
  <si>
    <t>Average of Rating C</t>
  </si>
  <si>
    <t>Value for Display</t>
  </si>
  <si>
    <t xml:space="preserve">orders </t>
  </si>
  <si>
    <t>quantity</t>
  </si>
  <si>
    <t>amount</t>
  </si>
  <si>
    <t xml:space="preserve">avg. rating </t>
  </si>
  <si>
    <t>avg.days</t>
  </si>
  <si>
    <t>Column Labels</t>
  </si>
  <si>
    <t>For Matrix</t>
  </si>
  <si>
    <t>6 to 10</t>
  </si>
  <si>
    <t>11 to 87</t>
  </si>
  <si>
    <t>Jan</t>
  </si>
  <si>
    <t>Feb</t>
  </si>
  <si>
    <t>Mar</t>
  </si>
  <si>
    <t>Column1</t>
  </si>
  <si>
    <t>Column2</t>
  </si>
  <si>
    <t>Column3</t>
  </si>
  <si>
    <t>Column4</t>
  </si>
  <si>
    <t>Column5</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</si>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</sst>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1">
    <xf numFmtId="0" fontId="0" fillId="0" borderId="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2" xfId="0" applyBorder="1" applyAlignment="1">
      <alignment horizontal="center"/>
    </xf>
    <xf numFmtId="0" fontId="0" fillId="0" borderId="3" xfId="0" applyBorder="1" applyAlignment="1">
      <alignment horizontal="center"/>
    </xf>
    <xf numFmtId="165" fontId="0" fillId="0" borderId="5" xfId="0" applyNumberFormat="1" applyBorder="1" applyAlignment="1">
      <alignment horizontal="center"/>
    </xf>
    <xf numFmtId="165" fontId="0" fillId="0" borderId="6" xfId="0" applyNumberFormat="1" applyBorder="1" applyAlignment="1">
      <alignment horizontal="center"/>
    </xf>
    <xf numFmtId="165" fontId="0" fillId="0" borderId="8" xfId="0" applyNumberFormat="1" applyBorder="1" applyAlignment="1">
      <alignment horizontal="center"/>
    </xf>
    <xf numFmtId="165" fontId="0" fillId="0" borderId="9" xfId="0" applyNumberFormat="1" applyBorder="1" applyAlignment="1">
      <alignment horizontal="center"/>
    </xf>
    <xf numFmtId="0" fontId="0" fillId="0" borderId="1" xfId="0" applyBorder="1" applyAlignment="1">
      <alignment horizontal="left"/>
    </xf>
    <xf numFmtId="0" fontId="0" fillId="0" borderId="4" xfId="0" applyBorder="1" applyAlignment="1">
      <alignment horizontal="left"/>
    </xf>
    <xf numFmtId="0" fontId="0" fillId="0" borderId="7" xfId="0" applyBorder="1" applyAlignment="1">
      <alignment horizontal="left"/>
    </xf>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CC99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[ecommerce-blank.xlsx]Pivots!PivotTable2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 Last 13 weeks Trends -Qty &amp;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92136078992606E-2"/>
          <c:y val="5.1753180671946702E-2"/>
          <c:w val="0.76568421377281703"/>
          <c:h val="0.83947919333202681"/>
        </c:manualLayout>
      </c:layout>
      <c:lineChart>
        <c:grouping val="standard"/>
        <c:varyColors val="0"/>
        <c:ser>
          <c:idx val="0"/>
          <c:order val="0"/>
          <c:tx>
            <c:strRef>
              <c:f>Pivots!$B$9</c:f>
              <c:strCache>
                <c:ptCount val="1"/>
                <c:pt idx="0">
                  <c:v>Sum of Quantity</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General</c:formatCode>
                <c:ptCount val="13"/>
                <c:pt idx="0">
                  <c:v>9</c:v>
                </c:pt>
                <c:pt idx="1">
                  <c:v>9</c:v>
                </c:pt>
                <c:pt idx="2">
                  <c:v>1</c:v>
                </c:pt>
                <c:pt idx="3">
                  <c:v>5</c:v>
                </c:pt>
                <c:pt idx="4">
                  <c:v>3</c:v>
                </c:pt>
                <c:pt idx="5">
                  <c:v>14</c:v>
                </c:pt>
                <c:pt idx="6">
                  <c:v>21</c:v>
                </c:pt>
                <c:pt idx="7">
                  <c:v>13</c:v>
                </c:pt>
                <c:pt idx="8">
                  <c:v>23</c:v>
                </c:pt>
                <c:pt idx="9">
                  <c:v>1</c:v>
                </c:pt>
                <c:pt idx="10">
                  <c:v>7</c:v>
                </c:pt>
                <c:pt idx="11">
                  <c:v>9</c:v>
                </c:pt>
                <c:pt idx="12">
                  <c:v>19</c:v>
                </c:pt>
              </c:numCache>
            </c:numRef>
          </c:val>
          <c:smooth val="0"/>
          <c:extLst>
            <c:ext xmlns:c16="http://schemas.microsoft.com/office/drawing/2014/chart" uri="{C3380CC4-5D6E-409C-BE32-E72D297353CC}">
              <c16:uniqueId val="{00000000-5EE6-4AE9-9E80-D3755F2FA2E0}"/>
            </c:ext>
          </c:extLst>
        </c:ser>
        <c:dLbls>
          <c:showLegendKey val="0"/>
          <c:showVal val="0"/>
          <c:showCatName val="0"/>
          <c:showSerName val="0"/>
          <c:showPercent val="0"/>
          <c:showBubbleSize val="0"/>
        </c:dLbls>
        <c:marker val="1"/>
        <c:smooth val="0"/>
        <c:axId val="387914112"/>
        <c:axId val="6229104"/>
      </c:lineChart>
      <c:lineChart>
        <c:grouping val="standard"/>
        <c:varyColors val="0"/>
        <c:ser>
          <c:idx val="1"/>
          <c:order val="1"/>
          <c:tx>
            <c:strRef>
              <c:f>Pivots!$C$9</c:f>
              <c:strCache>
                <c:ptCount val="1"/>
                <c:pt idx="0">
                  <c:v>Sum of Amount</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 #,##0.00</c:formatCode>
                <c:ptCount val="13"/>
                <c:pt idx="0">
                  <c:v>483.3</c:v>
                </c:pt>
                <c:pt idx="1">
                  <c:v>112.5</c:v>
                </c:pt>
                <c:pt idx="2">
                  <c:v>49.7</c:v>
                </c:pt>
                <c:pt idx="3">
                  <c:v>134.30000000000001</c:v>
                </c:pt>
                <c:pt idx="4">
                  <c:v>194</c:v>
                </c:pt>
                <c:pt idx="5">
                  <c:v>933.5</c:v>
                </c:pt>
                <c:pt idx="6">
                  <c:v>2169.9</c:v>
                </c:pt>
                <c:pt idx="7">
                  <c:v>851.3</c:v>
                </c:pt>
                <c:pt idx="8">
                  <c:v>1443.1</c:v>
                </c:pt>
                <c:pt idx="9">
                  <c:v>52.2</c:v>
                </c:pt>
                <c:pt idx="10">
                  <c:v>480.1</c:v>
                </c:pt>
                <c:pt idx="11">
                  <c:v>472.8</c:v>
                </c:pt>
                <c:pt idx="12">
                  <c:v>676.6</c:v>
                </c:pt>
              </c:numCache>
            </c:numRef>
          </c:val>
          <c:smooth val="0"/>
          <c:extLst>
            <c:ext xmlns:c16="http://schemas.microsoft.com/office/drawing/2014/chart" uri="{C3380CC4-5D6E-409C-BE32-E72D297353CC}">
              <c16:uniqueId val="{00000001-5EE6-4AE9-9E80-D3755F2FA2E0}"/>
            </c:ext>
          </c:extLst>
        </c:ser>
        <c:dLbls>
          <c:showLegendKey val="0"/>
          <c:showVal val="0"/>
          <c:showCatName val="0"/>
          <c:showSerName val="0"/>
          <c:showPercent val="0"/>
          <c:showBubbleSize val="0"/>
        </c:dLbls>
        <c:marker val="1"/>
        <c:smooth val="0"/>
        <c:axId val="393678896"/>
        <c:axId val="2018969647"/>
      </c:lineChart>
      <c:catAx>
        <c:axId val="38791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104"/>
        <c:crosses val="autoZero"/>
        <c:auto val="1"/>
        <c:lblAlgn val="ctr"/>
        <c:lblOffset val="100"/>
        <c:noMultiLvlLbl val="0"/>
      </c:catAx>
      <c:valAx>
        <c:axId val="6229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14112"/>
        <c:crosses val="autoZero"/>
        <c:crossBetween val="between"/>
      </c:valAx>
      <c:valAx>
        <c:axId val="2018969647"/>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678896"/>
        <c:crosses val="max"/>
        <c:crossBetween val="between"/>
      </c:valAx>
      <c:catAx>
        <c:axId val="393678896"/>
        <c:scaling>
          <c:orientation val="minMax"/>
        </c:scaling>
        <c:delete val="1"/>
        <c:axPos val="b"/>
        <c:numFmt formatCode="General" sourceLinked="1"/>
        <c:majorTickMark val="out"/>
        <c:minorTickMark val="none"/>
        <c:tickLblPos val="nextTo"/>
        <c:crossAx val="201896964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[ecommerce-blank.xlsx]Pivots 3!PivotTable8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a:t>
            </a:r>
            <a:r>
              <a:rPr lang="en-IN" baseline="0"/>
              <a:t> many they buy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 3'!$B$18</c:f>
              <c:strCache>
                <c:ptCount val="1"/>
                <c:pt idx="0">
                  <c:v>Total</c:v>
                </c:pt>
              </c:strCache>
            </c:strRef>
          </c:tx>
          <c:spPr>
            <a:solidFill>
              <a:schemeClr val="accent6"/>
            </a:solidFill>
            <a:ln>
              <a:noFill/>
            </a:ln>
            <a:effectLst/>
          </c:spPr>
          <c:invertIfNegative val="0"/>
          <c:cat>
            <c:strRef>
              <c:f>'Pivots 3'!$A$19:$A$26</c:f>
              <c:strCache>
                <c:ptCount val="7"/>
                <c:pt idx="0">
                  <c:v>1</c:v>
                </c:pt>
                <c:pt idx="1">
                  <c:v>2</c:v>
                </c:pt>
                <c:pt idx="2">
                  <c:v>3</c:v>
                </c:pt>
                <c:pt idx="3">
                  <c:v>4</c:v>
                </c:pt>
                <c:pt idx="4">
                  <c:v>5</c:v>
                </c:pt>
                <c:pt idx="5">
                  <c:v>6 to 10</c:v>
                </c:pt>
                <c:pt idx="6">
                  <c:v>11 to 87</c:v>
                </c:pt>
              </c:strCache>
            </c:strRef>
          </c:cat>
          <c:val>
            <c:numRef>
              <c:f>'Pivots 3'!$B$19:$B$26</c:f>
              <c:numCache>
                <c:formatCode>General</c:formatCode>
                <c:ptCount val="7"/>
                <c:pt idx="0">
                  <c:v>6</c:v>
                </c:pt>
                <c:pt idx="1">
                  <c:v>8</c:v>
                </c:pt>
                <c:pt idx="2">
                  <c:v>3</c:v>
                </c:pt>
                <c:pt idx="3">
                  <c:v>3</c:v>
                </c:pt>
                <c:pt idx="4">
                  <c:v>5</c:v>
                </c:pt>
                <c:pt idx="5">
                  <c:v>4</c:v>
                </c:pt>
                <c:pt idx="6">
                  <c:v>2</c:v>
                </c:pt>
              </c:numCache>
            </c:numRef>
          </c:val>
          <c:extLst>
            <c:ext xmlns:c16="http://schemas.microsoft.com/office/drawing/2014/chart" uri="{C3380CC4-5D6E-409C-BE32-E72D297353CC}">
              <c16:uniqueId val="{00000000-E041-4475-ADF4-2A96FE6F97B2}"/>
            </c:ext>
          </c:extLst>
        </c:ser>
        <c:dLbls>
          <c:showLegendKey val="0"/>
          <c:showVal val="0"/>
          <c:showCatName val="0"/>
          <c:showSerName val="0"/>
          <c:showPercent val="0"/>
          <c:showBubbleSize val="0"/>
        </c:dLbls>
        <c:gapWidth val="7"/>
        <c:overlap val="-27"/>
        <c:axId val="199181936"/>
        <c:axId val="1807886351"/>
      </c:barChart>
      <c:catAx>
        <c:axId val="19918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886351"/>
        <c:crosses val="autoZero"/>
        <c:auto val="1"/>
        <c:lblAlgn val="ctr"/>
        <c:lblOffset val="100"/>
        <c:noMultiLvlLbl val="0"/>
      </c:catAx>
      <c:valAx>
        <c:axId val="180788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8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[ecommerce-blank.xlsx]Pivots 3!PivotTable9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Which products are popular?</a:t>
            </a:r>
            <a:endParaRPr lang="en-IN" sz="1400"/>
          </a:p>
        </c:rich>
      </c:tx>
      <c:layout>
        <c:manualLayout>
          <c:xMode val="edge"/>
          <c:yMode val="edge"/>
          <c:x val="0.27406750756554127"/>
          <c:y val="1.7099928436126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 3'!$B$33:$B$34</c:f>
              <c:strCache>
                <c:ptCount val="1"/>
                <c:pt idx="0">
                  <c:v>Unknown</c:v>
                </c:pt>
              </c:strCache>
            </c:strRef>
          </c:tx>
          <c:spPr>
            <a:solidFill>
              <a:schemeClr val="accent6"/>
            </a:solidFill>
            <a:ln>
              <a:noFill/>
            </a:ln>
            <a:effectLst/>
          </c:spPr>
          <c:invertIfNegative val="0"/>
          <c:cat>
            <c:strRef>
              <c:f>'Pivots 3'!$A$35:$A$49</c:f>
              <c:strCache>
                <c:ptCount val="14"/>
                <c:pt idx="0">
                  <c:v>Sneakers</c:v>
                </c:pt>
                <c:pt idx="1">
                  <c:v>Sundresses</c:v>
                </c:pt>
                <c:pt idx="2">
                  <c:v>Sunglasses</c:v>
                </c:pt>
                <c:pt idx="3">
                  <c:v>Jeans</c:v>
                </c:pt>
                <c:pt idx="4">
                  <c:v>Casual Dresses</c:v>
                </c:pt>
                <c:pt idx="5">
                  <c:v>Shorts</c:v>
                </c:pt>
                <c:pt idx="6">
                  <c:v>T-Shirts</c:v>
                </c:pt>
                <c:pt idx="7">
                  <c:v>Workout Tops</c:v>
                </c:pt>
                <c:pt idx="8">
                  <c:v>Tote Bags</c:v>
                </c:pt>
                <c:pt idx="9">
                  <c:v>Graphic Tees</c:v>
                </c:pt>
                <c:pt idx="10">
                  <c:v>Leggings</c:v>
                </c:pt>
                <c:pt idx="11">
                  <c:v>Bikinis</c:v>
                </c:pt>
                <c:pt idx="12">
                  <c:v>Sandals</c:v>
                </c:pt>
                <c:pt idx="13">
                  <c:v>Crop Tops</c:v>
                </c:pt>
              </c:strCache>
            </c:strRef>
          </c:cat>
          <c:val>
            <c:numRef>
              <c:f>'Pivots 3'!$B$35:$B$49</c:f>
              <c:numCache>
                <c:formatCode>General</c:formatCode>
                <c:ptCount val="14"/>
                <c:pt idx="0">
                  <c:v>27</c:v>
                </c:pt>
                <c:pt idx="1">
                  <c:v>17</c:v>
                </c:pt>
                <c:pt idx="2">
                  <c:v>15</c:v>
                </c:pt>
                <c:pt idx="3">
                  <c:v>12</c:v>
                </c:pt>
                <c:pt idx="4">
                  <c:v>10</c:v>
                </c:pt>
                <c:pt idx="5">
                  <c:v>10</c:v>
                </c:pt>
                <c:pt idx="6">
                  <c:v>10</c:v>
                </c:pt>
                <c:pt idx="7">
                  <c:v>7</c:v>
                </c:pt>
                <c:pt idx="8">
                  <c:v>6</c:v>
                </c:pt>
                <c:pt idx="9">
                  <c:v>6</c:v>
                </c:pt>
                <c:pt idx="10">
                  <c:v>5</c:v>
                </c:pt>
                <c:pt idx="11">
                  <c:v>4</c:v>
                </c:pt>
                <c:pt idx="12">
                  <c:v>3</c:v>
                </c:pt>
                <c:pt idx="13">
                  <c:v>2</c:v>
                </c:pt>
              </c:numCache>
            </c:numRef>
          </c:val>
          <c:extLst>
            <c:ext xmlns:c16="http://schemas.microsoft.com/office/drawing/2014/chart" uri="{C3380CC4-5D6E-409C-BE32-E72D297353CC}">
              <c16:uniqueId val="{00000000-A0B4-44B7-8BFF-869D4DE08B85}"/>
            </c:ext>
          </c:extLst>
        </c:ser>
        <c:dLbls>
          <c:showLegendKey val="0"/>
          <c:showVal val="0"/>
          <c:showCatName val="0"/>
          <c:showSerName val="0"/>
          <c:showPercent val="0"/>
          <c:showBubbleSize val="0"/>
        </c:dLbls>
        <c:gapWidth val="150"/>
        <c:overlap val="100"/>
        <c:axId val="386176992"/>
        <c:axId val="1807882031"/>
      </c:barChart>
      <c:catAx>
        <c:axId val="3861769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882031"/>
        <c:crosses val="autoZero"/>
        <c:auto val="1"/>
        <c:lblAlgn val="ctr"/>
        <c:lblOffset val="100"/>
        <c:noMultiLvlLbl val="0"/>
      </c:catAx>
      <c:valAx>
        <c:axId val="1807882031"/>
        <c:scaling>
          <c:orientation val="minMax"/>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176992"/>
        <c:crosses val="autoZero"/>
        <c:crossBetween val="between"/>
      </c:valAx>
      <c:spPr>
        <a:noFill/>
        <a:ln>
          <a:noFill/>
        </a:ln>
        <a:effectLst/>
      </c:spPr>
    </c:plotArea>
    <c:legend>
      <c:legendPos val="r"/>
      <c:layout>
        <c:manualLayout>
          <c:xMode val="edge"/>
          <c:yMode val="edge"/>
          <c:x val="0.61299666351597393"/>
          <c:y val="0.41173575718460675"/>
          <c:w val="0.21459756553499124"/>
          <c:h val="8.909549218212126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[ecommerce-blank.xlsx]Pivots 2 !PivotTable18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How long we take to ship the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'Pivots 2 '!$B$3</c:f>
              <c:strCache>
                <c:ptCount val="1"/>
                <c:pt idx="0">
                  <c:v>Total</c:v>
                </c:pt>
              </c:strCache>
            </c:strRef>
          </c:tx>
          <c:spPr>
            <a:solidFill>
              <a:schemeClr val="accent6"/>
            </a:solidFill>
            <a:ln>
              <a:noFill/>
            </a:ln>
            <a:effectLst/>
            <a:sp3d/>
          </c:spPr>
          <c:invertIfNegative val="0"/>
          <c:cat>
            <c:strRef>
              <c:f>'Pivots 2 '!$A$4:$A$13</c:f>
              <c:strCache>
                <c:ptCount val="9"/>
                <c:pt idx="0">
                  <c:v>0</c:v>
                </c:pt>
                <c:pt idx="1">
                  <c:v>1</c:v>
                </c:pt>
                <c:pt idx="2">
                  <c:v>2</c:v>
                </c:pt>
                <c:pt idx="3">
                  <c:v>3</c:v>
                </c:pt>
                <c:pt idx="4">
                  <c:v>4</c:v>
                </c:pt>
                <c:pt idx="5">
                  <c:v>5</c:v>
                </c:pt>
                <c:pt idx="6">
                  <c:v>6</c:v>
                </c:pt>
                <c:pt idx="7">
                  <c:v>7</c:v>
                </c:pt>
                <c:pt idx="8">
                  <c:v>10</c:v>
                </c:pt>
              </c:strCache>
            </c:strRef>
          </c:cat>
          <c:val>
            <c:numRef>
              <c:f>'Pivots 2 '!$B$4:$B$13</c:f>
              <c:numCache>
                <c:formatCode>General</c:formatCode>
                <c:ptCount val="9"/>
                <c:pt idx="0">
                  <c:v>4</c:v>
                </c:pt>
                <c:pt idx="1">
                  <c:v>10</c:v>
                </c:pt>
                <c:pt idx="2">
                  <c:v>8</c:v>
                </c:pt>
                <c:pt idx="3">
                  <c:v>3</c:v>
                </c:pt>
                <c:pt idx="4">
                  <c:v>1</c:v>
                </c:pt>
                <c:pt idx="5">
                  <c:v>1</c:v>
                </c:pt>
                <c:pt idx="6">
                  <c:v>2</c:v>
                </c:pt>
                <c:pt idx="7">
                  <c:v>1</c:v>
                </c:pt>
                <c:pt idx="8">
                  <c:v>1</c:v>
                </c:pt>
              </c:numCache>
            </c:numRef>
          </c:val>
          <c:extLst>
            <c:ext xmlns:c16="http://schemas.microsoft.com/office/drawing/2014/chart" uri="{C3380CC4-5D6E-409C-BE32-E72D297353CC}">
              <c16:uniqueId val="{00000000-5CC1-443E-AEEF-3FD634D7793C}"/>
            </c:ext>
          </c:extLst>
        </c:ser>
        <c:dLbls>
          <c:showLegendKey val="0"/>
          <c:showVal val="0"/>
          <c:showCatName val="0"/>
          <c:showSerName val="0"/>
          <c:showPercent val="0"/>
          <c:showBubbleSize val="0"/>
        </c:dLbls>
        <c:gapWidth val="40"/>
        <c:gapDepth val="10"/>
        <c:shape val="box"/>
        <c:axId val="414442720"/>
        <c:axId val="306369456"/>
        <c:axId val="0"/>
      </c:bar3DChart>
      <c:catAx>
        <c:axId val="4144427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369456"/>
        <c:crosses val="autoZero"/>
        <c:auto val="1"/>
        <c:lblAlgn val="ctr"/>
        <c:lblOffset val="100"/>
        <c:noMultiLvlLbl val="0"/>
      </c:catAx>
      <c:valAx>
        <c:axId val="30636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[ecommerce-blank.xlsx]Pivots 2 !PivotTable19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a:t>
            </a:r>
            <a:r>
              <a:rPr lang="en-IN" baseline="0"/>
              <a:t> satisfied are our  Customers?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2 '!$B$24:$B$25</c:f>
              <c:strCache>
                <c:ptCount val="1"/>
                <c:pt idx="0">
                  <c:v>1</c:v>
                </c:pt>
              </c:strCache>
            </c:strRef>
          </c:tx>
          <c:spPr>
            <a:solidFill>
              <a:schemeClr val="accent5">
                <a:tint val="54000"/>
              </a:schemeClr>
            </a:solidFill>
            <a:ln>
              <a:noFill/>
            </a:ln>
            <a:effectLst/>
          </c:spPr>
          <c:invertIfNegative val="0"/>
          <c:cat>
            <c:strRef>
              <c:f>'Pivots 2 '!$A$26:$A$29</c:f>
              <c:strCache>
                <c:ptCount val="3"/>
                <c:pt idx="0">
                  <c:v>Jan</c:v>
                </c:pt>
                <c:pt idx="1">
                  <c:v>Feb</c:v>
                </c:pt>
                <c:pt idx="2">
                  <c:v>Mar</c:v>
                </c:pt>
              </c:strCache>
            </c:strRef>
          </c:cat>
          <c:val>
            <c:numRef>
              <c:f>'Pivots 2 '!$B$26:$B$29</c:f>
              <c:numCache>
                <c:formatCode>General</c:formatCode>
                <c:ptCount val="3"/>
                <c:pt idx="1">
                  <c:v>1</c:v>
                </c:pt>
              </c:numCache>
            </c:numRef>
          </c:val>
          <c:extLst>
            <c:ext xmlns:c16="http://schemas.microsoft.com/office/drawing/2014/chart" uri="{C3380CC4-5D6E-409C-BE32-E72D297353CC}">
              <c16:uniqueId val="{00000000-7153-498A-AD31-0295E8F7989C}"/>
            </c:ext>
          </c:extLst>
        </c:ser>
        <c:ser>
          <c:idx val="1"/>
          <c:order val="1"/>
          <c:tx>
            <c:strRef>
              <c:f>'Pivots 2 '!$C$24:$C$25</c:f>
              <c:strCache>
                <c:ptCount val="1"/>
                <c:pt idx="0">
                  <c:v>2</c:v>
                </c:pt>
              </c:strCache>
            </c:strRef>
          </c:tx>
          <c:spPr>
            <a:solidFill>
              <a:schemeClr val="accent5">
                <a:tint val="77000"/>
              </a:schemeClr>
            </a:solidFill>
            <a:ln>
              <a:noFill/>
            </a:ln>
            <a:effectLst/>
          </c:spPr>
          <c:invertIfNegative val="0"/>
          <c:cat>
            <c:strRef>
              <c:f>'Pivots 2 '!$A$26:$A$29</c:f>
              <c:strCache>
                <c:ptCount val="3"/>
                <c:pt idx="0">
                  <c:v>Jan</c:v>
                </c:pt>
                <c:pt idx="1">
                  <c:v>Feb</c:v>
                </c:pt>
                <c:pt idx="2">
                  <c:v>Mar</c:v>
                </c:pt>
              </c:strCache>
            </c:strRef>
          </c:cat>
          <c:val>
            <c:numRef>
              <c:f>'Pivots 2 '!$C$26:$C$29</c:f>
              <c:numCache>
                <c:formatCode>General</c:formatCode>
                <c:ptCount val="3"/>
                <c:pt idx="1">
                  <c:v>1</c:v>
                </c:pt>
              </c:numCache>
            </c:numRef>
          </c:val>
          <c:extLst>
            <c:ext xmlns:c16="http://schemas.microsoft.com/office/drawing/2014/chart" uri="{C3380CC4-5D6E-409C-BE32-E72D297353CC}">
              <c16:uniqueId val="{00000001-7153-498A-AD31-0295E8F7989C}"/>
            </c:ext>
          </c:extLst>
        </c:ser>
        <c:ser>
          <c:idx val="2"/>
          <c:order val="2"/>
          <c:tx>
            <c:strRef>
              <c:f>'Pivots 2 '!$D$24:$D$25</c:f>
              <c:strCache>
                <c:ptCount val="1"/>
                <c:pt idx="0">
                  <c:v>3</c:v>
                </c:pt>
              </c:strCache>
            </c:strRef>
          </c:tx>
          <c:spPr>
            <a:solidFill>
              <a:schemeClr val="accent5"/>
            </a:solidFill>
            <a:ln>
              <a:noFill/>
            </a:ln>
            <a:effectLst/>
          </c:spPr>
          <c:invertIfNegative val="0"/>
          <c:cat>
            <c:strRef>
              <c:f>'Pivots 2 '!$A$26:$A$29</c:f>
              <c:strCache>
                <c:ptCount val="3"/>
                <c:pt idx="0">
                  <c:v>Jan</c:v>
                </c:pt>
                <c:pt idx="1">
                  <c:v>Feb</c:v>
                </c:pt>
                <c:pt idx="2">
                  <c:v>Mar</c:v>
                </c:pt>
              </c:strCache>
            </c:strRef>
          </c:cat>
          <c:val>
            <c:numRef>
              <c:f>'Pivots 2 '!$D$26:$D$29</c:f>
              <c:numCache>
                <c:formatCode>General</c:formatCode>
                <c:ptCount val="3"/>
                <c:pt idx="0">
                  <c:v>2</c:v>
                </c:pt>
                <c:pt idx="1">
                  <c:v>4</c:v>
                </c:pt>
                <c:pt idx="2">
                  <c:v>2</c:v>
                </c:pt>
              </c:numCache>
            </c:numRef>
          </c:val>
          <c:extLst>
            <c:ext xmlns:c16="http://schemas.microsoft.com/office/drawing/2014/chart" uri="{C3380CC4-5D6E-409C-BE32-E72D297353CC}">
              <c16:uniqueId val="{00000002-7153-498A-AD31-0295E8F7989C}"/>
            </c:ext>
          </c:extLst>
        </c:ser>
        <c:ser>
          <c:idx val="3"/>
          <c:order val="3"/>
          <c:tx>
            <c:strRef>
              <c:f>'Pivots 2 '!$E$24:$E$25</c:f>
              <c:strCache>
                <c:ptCount val="1"/>
                <c:pt idx="0">
                  <c:v>4</c:v>
                </c:pt>
              </c:strCache>
            </c:strRef>
          </c:tx>
          <c:spPr>
            <a:solidFill>
              <a:schemeClr val="accent5">
                <a:shade val="76000"/>
              </a:schemeClr>
            </a:solidFill>
            <a:ln>
              <a:noFill/>
            </a:ln>
            <a:effectLst/>
          </c:spPr>
          <c:invertIfNegative val="0"/>
          <c:cat>
            <c:strRef>
              <c:f>'Pivots 2 '!$A$26:$A$29</c:f>
              <c:strCache>
                <c:ptCount val="3"/>
                <c:pt idx="0">
                  <c:v>Jan</c:v>
                </c:pt>
                <c:pt idx="1">
                  <c:v>Feb</c:v>
                </c:pt>
                <c:pt idx="2">
                  <c:v>Mar</c:v>
                </c:pt>
              </c:strCache>
            </c:strRef>
          </c:cat>
          <c:val>
            <c:numRef>
              <c:f>'Pivots 2 '!$E$26:$E$29</c:f>
              <c:numCache>
                <c:formatCode>General</c:formatCode>
                <c:ptCount val="3"/>
                <c:pt idx="0">
                  <c:v>1</c:v>
                </c:pt>
                <c:pt idx="1">
                  <c:v>4</c:v>
                </c:pt>
                <c:pt idx="2">
                  <c:v>6</c:v>
                </c:pt>
              </c:numCache>
            </c:numRef>
          </c:val>
          <c:extLst>
            <c:ext xmlns:c16="http://schemas.microsoft.com/office/drawing/2014/chart" uri="{C3380CC4-5D6E-409C-BE32-E72D297353CC}">
              <c16:uniqueId val="{00000004-EE47-4967-8BEE-0D22E0A7EA35}"/>
            </c:ext>
          </c:extLst>
        </c:ser>
        <c:ser>
          <c:idx val="4"/>
          <c:order val="4"/>
          <c:tx>
            <c:strRef>
              <c:f>'Pivots 2 '!$F$24:$F$25</c:f>
              <c:strCache>
                <c:ptCount val="1"/>
                <c:pt idx="0">
                  <c:v>5</c:v>
                </c:pt>
              </c:strCache>
            </c:strRef>
          </c:tx>
          <c:spPr>
            <a:solidFill>
              <a:schemeClr val="accent5">
                <a:shade val="53000"/>
              </a:schemeClr>
            </a:solidFill>
            <a:ln>
              <a:noFill/>
            </a:ln>
            <a:effectLst/>
          </c:spPr>
          <c:invertIfNegative val="0"/>
          <c:cat>
            <c:strRef>
              <c:f>'Pivots 2 '!$A$26:$A$29</c:f>
              <c:strCache>
                <c:ptCount val="3"/>
                <c:pt idx="0">
                  <c:v>Jan</c:v>
                </c:pt>
                <c:pt idx="1">
                  <c:v>Feb</c:v>
                </c:pt>
                <c:pt idx="2">
                  <c:v>Mar</c:v>
                </c:pt>
              </c:strCache>
            </c:strRef>
          </c:cat>
          <c:val>
            <c:numRef>
              <c:f>'Pivots 2 '!$F$26:$F$29</c:f>
              <c:numCache>
                <c:formatCode>General</c:formatCode>
                <c:ptCount val="3"/>
                <c:pt idx="0">
                  <c:v>6</c:v>
                </c:pt>
                <c:pt idx="1">
                  <c:v>2</c:v>
                </c:pt>
                <c:pt idx="2">
                  <c:v>2</c:v>
                </c:pt>
              </c:numCache>
            </c:numRef>
          </c:val>
          <c:extLst>
            <c:ext xmlns:c16="http://schemas.microsoft.com/office/drawing/2014/chart" uri="{C3380CC4-5D6E-409C-BE32-E72D297353CC}">
              <c16:uniqueId val="{00000003-E59B-43BD-8711-1BBFA6F88660}"/>
            </c:ext>
          </c:extLst>
        </c:ser>
        <c:dLbls>
          <c:showLegendKey val="0"/>
          <c:showVal val="0"/>
          <c:showCatName val="0"/>
          <c:showSerName val="0"/>
          <c:showPercent val="0"/>
          <c:showBubbleSize val="0"/>
        </c:dLbls>
        <c:gapWidth val="219"/>
        <c:overlap val="-27"/>
        <c:axId val="314014688"/>
        <c:axId val="501006160"/>
      </c:barChart>
      <c:catAx>
        <c:axId val="31401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06160"/>
        <c:crosses val="autoZero"/>
        <c:auto val="1"/>
        <c:lblAlgn val="ctr"/>
        <c:lblOffset val="100"/>
        <c:noMultiLvlLbl val="0"/>
      </c:catAx>
      <c:valAx>
        <c:axId val="50100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01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[ecommerce-blank.xlsx]Pivots 2 !PivotTable19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a:t>
            </a:r>
            <a:r>
              <a:rPr lang="en-IN" baseline="0"/>
              <a:t> satisfied are our  Customers?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2 '!$B$24:$B$25</c:f>
              <c:strCache>
                <c:ptCount val="1"/>
                <c:pt idx="0">
                  <c:v>1</c:v>
                </c:pt>
              </c:strCache>
            </c:strRef>
          </c:tx>
          <c:spPr>
            <a:solidFill>
              <a:schemeClr val="accent5">
                <a:tint val="54000"/>
              </a:schemeClr>
            </a:solidFill>
            <a:ln>
              <a:noFill/>
            </a:ln>
            <a:effectLst/>
          </c:spPr>
          <c:invertIfNegative val="0"/>
          <c:cat>
            <c:strRef>
              <c:f>'Pivots 2 '!$A$26:$A$29</c:f>
              <c:strCache>
                <c:ptCount val="3"/>
                <c:pt idx="0">
                  <c:v>Jan</c:v>
                </c:pt>
                <c:pt idx="1">
                  <c:v>Feb</c:v>
                </c:pt>
                <c:pt idx="2">
                  <c:v>Mar</c:v>
                </c:pt>
              </c:strCache>
            </c:strRef>
          </c:cat>
          <c:val>
            <c:numRef>
              <c:f>'Pivots 2 '!$B$26:$B$29</c:f>
              <c:numCache>
                <c:formatCode>General</c:formatCode>
                <c:ptCount val="3"/>
                <c:pt idx="1">
                  <c:v>1</c:v>
                </c:pt>
              </c:numCache>
            </c:numRef>
          </c:val>
          <c:extLst>
            <c:ext xmlns:c16="http://schemas.microsoft.com/office/drawing/2014/chart" uri="{C3380CC4-5D6E-409C-BE32-E72D297353CC}">
              <c16:uniqueId val="{00000000-7153-498A-AD31-0295E8F7989C}"/>
            </c:ext>
          </c:extLst>
        </c:ser>
        <c:ser>
          <c:idx val="1"/>
          <c:order val="1"/>
          <c:tx>
            <c:strRef>
              <c:f>'Pivots 2 '!$C$24:$C$25</c:f>
              <c:strCache>
                <c:ptCount val="1"/>
                <c:pt idx="0">
                  <c:v>2</c:v>
                </c:pt>
              </c:strCache>
            </c:strRef>
          </c:tx>
          <c:spPr>
            <a:solidFill>
              <a:schemeClr val="accent5">
                <a:tint val="77000"/>
              </a:schemeClr>
            </a:solidFill>
            <a:ln>
              <a:noFill/>
            </a:ln>
            <a:effectLst/>
          </c:spPr>
          <c:invertIfNegative val="0"/>
          <c:cat>
            <c:strRef>
              <c:f>'Pivots 2 '!$A$26:$A$29</c:f>
              <c:strCache>
                <c:ptCount val="3"/>
                <c:pt idx="0">
                  <c:v>Jan</c:v>
                </c:pt>
                <c:pt idx="1">
                  <c:v>Feb</c:v>
                </c:pt>
                <c:pt idx="2">
                  <c:v>Mar</c:v>
                </c:pt>
              </c:strCache>
            </c:strRef>
          </c:cat>
          <c:val>
            <c:numRef>
              <c:f>'Pivots 2 '!$C$26:$C$29</c:f>
              <c:numCache>
                <c:formatCode>General</c:formatCode>
                <c:ptCount val="3"/>
                <c:pt idx="1">
                  <c:v>1</c:v>
                </c:pt>
              </c:numCache>
            </c:numRef>
          </c:val>
          <c:extLst>
            <c:ext xmlns:c16="http://schemas.microsoft.com/office/drawing/2014/chart" uri="{C3380CC4-5D6E-409C-BE32-E72D297353CC}">
              <c16:uniqueId val="{00000001-7153-498A-AD31-0295E8F7989C}"/>
            </c:ext>
          </c:extLst>
        </c:ser>
        <c:ser>
          <c:idx val="2"/>
          <c:order val="2"/>
          <c:tx>
            <c:strRef>
              <c:f>'Pivots 2 '!$D$24:$D$25</c:f>
              <c:strCache>
                <c:ptCount val="1"/>
                <c:pt idx="0">
                  <c:v>3</c:v>
                </c:pt>
              </c:strCache>
            </c:strRef>
          </c:tx>
          <c:spPr>
            <a:solidFill>
              <a:schemeClr val="accent5"/>
            </a:solidFill>
            <a:ln>
              <a:noFill/>
            </a:ln>
            <a:effectLst/>
          </c:spPr>
          <c:invertIfNegative val="0"/>
          <c:cat>
            <c:strRef>
              <c:f>'Pivots 2 '!$A$26:$A$29</c:f>
              <c:strCache>
                <c:ptCount val="3"/>
                <c:pt idx="0">
                  <c:v>Jan</c:v>
                </c:pt>
                <c:pt idx="1">
                  <c:v>Feb</c:v>
                </c:pt>
                <c:pt idx="2">
                  <c:v>Mar</c:v>
                </c:pt>
              </c:strCache>
            </c:strRef>
          </c:cat>
          <c:val>
            <c:numRef>
              <c:f>'Pivots 2 '!$D$26:$D$29</c:f>
              <c:numCache>
                <c:formatCode>General</c:formatCode>
                <c:ptCount val="3"/>
                <c:pt idx="0">
                  <c:v>2</c:v>
                </c:pt>
                <c:pt idx="1">
                  <c:v>4</c:v>
                </c:pt>
                <c:pt idx="2">
                  <c:v>2</c:v>
                </c:pt>
              </c:numCache>
            </c:numRef>
          </c:val>
          <c:extLst>
            <c:ext xmlns:c16="http://schemas.microsoft.com/office/drawing/2014/chart" uri="{C3380CC4-5D6E-409C-BE32-E72D297353CC}">
              <c16:uniqueId val="{00000002-7153-498A-AD31-0295E8F7989C}"/>
            </c:ext>
          </c:extLst>
        </c:ser>
        <c:ser>
          <c:idx val="3"/>
          <c:order val="3"/>
          <c:tx>
            <c:strRef>
              <c:f>'Pivots 2 '!$E$24:$E$25</c:f>
              <c:strCache>
                <c:ptCount val="1"/>
                <c:pt idx="0">
                  <c:v>4</c:v>
                </c:pt>
              </c:strCache>
            </c:strRef>
          </c:tx>
          <c:spPr>
            <a:solidFill>
              <a:schemeClr val="accent5">
                <a:shade val="76000"/>
              </a:schemeClr>
            </a:solidFill>
            <a:ln>
              <a:noFill/>
            </a:ln>
            <a:effectLst/>
          </c:spPr>
          <c:invertIfNegative val="0"/>
          <c:cat>
            <c:strRef>
              <c:f>'Pivots 2 '!$A$26:$A$29</c:f>
              <c:strCache>
                <c:ptCount val="3"/>
                <c:pt idx="0">
                  <c:v>Jan</c:v>
                </c:pt>
                <c:pt idx="1">
                  <c:v>Feb</c:v>
                </c:pt>
                <c:pt idx="2">
                  <c:v>Mar</c:v>
                </c:pt>
              </c:strCache>
            </c:strRef>
          </c:cat>
          <c:val>
            <c:numRef>
              <c:f>'Pivots 2 '!$E$26:$E$29</c:f>
              <c:numCache>
                <c:formatCode>General</c:formatCode>
                <c:ptCount val="3"/>
                <c:pt idx="0">
                  <c:v>1</c:v>
                </c:pt>
                <c:pt idx="1">
                  <c:v>4</c:v>
                </c:pt>
                <c:pt idx="2">
                  <c:v>6</c:v>
                </c:pt>
              </c:numCache>
            </c:numRef>
          </c:val>
          <c:extLst>
            <c:ext xmlns:c16="http://schemas.microsoft.com/office/drawing/2014/chart" uri="{C3380CC4-5D6E-409C-BE32-E72D297353CC}">
              <c16:uniqueId val="{00000004-410D-45CD-861A-DB04D2BF1FD3}"/>
            </c:ext>
          </c:extLst>
        </c:ser>
        <c:ser>
          <c:idx val="4"/>
          <c:order val="4"/>
          <c:tx>
            <c:strRef>
              <c:f>'Pivots 2 '!$F$24:$F$25</c:f>
              <c:strCache>
                <c:ptCount val="1"/>
                <c:pt idx="0">
                  <c:v>5</c:v>
                </c:pt>
              </c:strCache>
            </c:strRef>
          </c:tx>
          <c:spPr>
            <a:solidFill>
              <a:schemeClr val="accent5">
                <a:shade val="53000"/>
              </a:schemeClr>
            </a:solidFill>
            <a:ln>
              <a:noFill/>
            </a:ln>
            <a:effectLst/>
          </c:spPr>
          <c:invertIfNegative val="0"/>
          <c:cat>
            <c:strRef>
              <c:f>'Pivots 2 '!$A$26:$A$29</c:f>
              <c:strCache>
                <c:ptCount val="3"/>
                <c:pt idx="0">
                  <c:v>Jan</c:v>
                </c:pt>
                <c:pt idx="1">
                  <c:v>Feb</c:v>
                </c:pt>
                <c:pt idx="2">
                  <c:v>Mar</c:v>
                </c:pt>
              </c:strCache>
            </c:strRef>
          </c:cat>
          <c:val>
            <c:numRef>
              <c:f>'Pivots 2 '!$F$26:$F$29</c:f>
              <c:numCache>
                <c:formatCode>General</c:formatCode>
                <c:ptCount val="3"/>
                <c:pt idx="0">
                  <c:v>6</c:v>
                </c:pt>
                <c:pt idx="1">
                  <c:v>2</c:v>
                </c:pt>
                <c:pt idx="2">
                  <c:v>2</c:v>
                </c:pt>
              </c:numCache>
            </c:numRef>
          </c:val>
          <c:extLst>
            <c:ext xmlns:c16="http://schemas.microsoft.com/office/drawing/2014/chart" uri="{C3380CC4-5D6E-409C-BE32-E72D297353CC}">
              <c16:uniqueId val="{00000003-27BA-4F99-B043-34E110E4444E}"/>
            </c:ext>
          </c:extLst>
        </c:ser>
        <c:dLbls>
          <c:showLegendKey val="0"/>
          <c:showVal val="0"/>
          <c:showCatName val="0"/>
          <c:showSerName val="0"/>
          <c:showPercent val="0"/>
          <c:showBubbleSize val="0"/>
        </c:dLbls>
        <c:gapWidth val="219"/>
        <c:overlap val="-27"/>
        <c:axId val="314014688"/>
        <c:axId val="501006160"/>
      </c:barChart>
      <c:catAx>
        <c:axId val="31401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06160"/>
        <c:crosses val="autoZero"/>
        <c:auto val="1"/>
        <c:lblAlgn val="ctr"/>
        <c:lblOffset val="100"/>
        <c:noMultiLvlLbl val="0"/>
      </c:catAx>
      <c:valAx>
        <c:axId val="50100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01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IN"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Where do our customers live?</a:t>
            </a:r>
            <a:r>
              <a:rPr lang="en-IN">
                <a:effectLst/>
              </a:rPr>
              <a:t> </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00000001-B149-46A2-BA9A-CEA008988AC8}" formatIdx="1">
          <cx:tx>
            <cx:txData>
              <cx:f>_xlchart.v5.6</cx:f>
              <cx:v>Sum of Amount</cx:v>
            </cx:txData>
          </cx:tx>
          <cx:dataId val="0"/>
          <cx:layoutPr>
            <cx:geography cultureLanguage="en-US" cultureRegion="IN" attribution="Powered by Bing">
              <cx:geoCache provider="{E9337A44-BEBE-4D9F-B70C-5C5E7DAFC167}">
                <cx:binary>7HxZc9w40u1fcfj5Uo2FxDIxPREDsqpU2hfb3e4XhizLJLiAC0CC5K+/WZLt1maPHDF+GMcn9xIy
C2QSB8g8eTJR/7ye/nFd3Vz1r6a6MvYf19Pvr3Pn2n/89pu9zm/qK7tX6+u+sc0nt3fd1L81nz7p
65vfPvZXXpvsN4Jw+Nt1ftW7m+n1v/4Jd8tumqPm+srpxpwPN/18cWOHytnvXHv20qurj7U2ibau
19cO//46vqr0p6Y3+ur1w2vk99fvbowb+qtXcTMYN79+Bb9qN7+Z25vfXz+4D3n96rfHj3ti2qsK
rHfDRxhMwz0ikKCIcnn7I16/qhqTfb4cYCz3iKQYMQRX7h57clXDyB8w6dagq48f+xtr4dVu///0
Bg/eA6bj3/95Gq5307FDIAMwfn/91mh38/HVpbtyN/b1K22b2/nq57jZvevby9vJ+e0hhv/656O/
gOl69Df3YH48t//p0kMk/wPKcQNvswPZup8BtdhDWEhJvwU1IXuYhiLi+BHUP2rX83g/e5cXgP7s
uF8M+X9XsKc+/gzQ+Z5AoSCC0bv9zR/tbwCdcBJyBp7j/vb+AYueh/vxDV6A9OMhvxjIa/B/pvkJ
PpztcYpZFIGzvvt5hDH4cC4i+IOjhyC/3KLnMX40/gUQPxrxiyF8fNNfQwC6jTr/1SjN9yhikgkG
/nv38zhKE7QXCiw55iHa/eCHOL/crudxfjT+BTg/GvGL4XzU2Ff/NtlNdWN/AtjhHooIoSKMngcb
iz0SUhoC2s+B/YPGPY/4czd5AezPDfvFsL+8Mq/UTW+u+o/6p3jzcA8DIceC0lt0EX3szTkw8hBJ
Lh9u8h837Hnov3GfF6D/jZG/2AK40ONNb/XHm5+w9emeFCiilN1Bv/PjD7MxCAScI4Ifg/9DRj2P
+9NbvADyp4N+MbQvr6574ObG/QziJvYiziTkXOjO0z8h53gvlLs/9Nmw/mO2PY/6M/d4AezPjPrl
cDevEn2T/QzYyR7HEY8keUzjMN/DjArw/Z9D/1MP/2KbvgX349d6EdqPB/2CYB+DaPQzwObAzEPO
5RdIn+xxSMCJwLDLH5H2XTR9sVHfRvvhLV6I9sNBvx7aO32tuvopgipEaKDmkqJvpWp4TwjAOwof
JeOA94+Y9U3En9zkZZg/GfaLof5maKqhNj+DtXFgbUDJw1De0bbHrA2ycyoIxoIAl78vsv2ITc/j
/eQOLwD7yZhfDOnLxjQ1bPD/eq1E7IVUMsnJXd79JDMDLRUCOwvB4T/E+eUWPY/yo/EvwPjRiF8N
YXdltK2uhp8hv/A9FiJOI/Y5/wZh/EEORvAeQjsBhj8qk0Dd6Qes+gbST+/xErSfjvrFEH9zk1/9
jD0doj3MGQPB7Rva+a4+QkMcMkyeE9tebtfzeD8a/wKsH4341XAegJb9jBjNgJahHYbfiNG3de4d
MYuexOiXWvQNhB++0UsQfjjifwDh75v44JV3JfB/f4mOzzQw/Gj/AoihUciYxN/GlWGI2Dj8vMG/
PPuui+F+08UdM3vOpueRvT/2wTveveL3J+XnNCd8u3HhaxNIcuWuVrftI/d6F75/9fb1oe3l0dDP
VPa5Cft8afvx99cRSBn3QN3d4wEHvj+Ldwj8PermyrrfX0MTCmjiu3oIYoREUMiEG/qbu0sk3AtR
hBDEbAGrYJdEm6Z3+e+vQwL9DhxKZmgHPcECwrVtht0lSvZAZIW0HFpfBMRxib+29pw11Zw15uuE
fP79lRnqs0YbZ39/jeEZ7d3Hbk1FkYTogKE6x6GPJiS7xK69vrqA9qHdp/+fW2jTdsMwnRhP5Wr0
ad6qhha8jEvux3MWRPNBMY2mXCFUuveuCce3ZWinTllpuj/uzd5z1oCg8NgaqA4QzqEWCJV/trP2
njWhmdtS5sN4QjqDT7JyMakaeMPyeBpdI9Xow+E9H9tAq74Wrou7oi8zlS6Wh7GQ3HyUzqFTuEc+
JKSq8NslCgTezCxKb/Ac4Gn9fYsJsOMnFjMOtU0iI44EQY8s1jwHbGd3QqcoyxI2LdXbMZSCrh2f
m0iN84SLRPNUqIWzWau5RHRTj/2Mk35s3Md8shbHOmijxELf1qhcnaNR8T4qs1XWFPlZOciD2src
JsDt5Tubd4dl5aNppW3AjnWfj/Xm+2/1FAYeUsQBCAZrg96+9D0Y+BxkPmgre2JcKt81mcBEhSWB
pdGaYTrzUy8v2xRXf37/sbu1dn8tQlEQ+nc4lQTWIvxnZ9a9x0ZoysLWZubEiAWf4DIfToztYy3S
/N33nwTb58mTJCKIh4JB6Vk8WmetCeel6/PmRLQovOp801eb1ImZqLLNV6gbqiWmaBZNXNDI1/9p
0ewWxcMXhYVCIiDi4P7BOzx6POdU55mp9QnvyuiqLoboqqx2NkRLbVesbxo1I4B+46vOE9WVDb9x
lbRbL+fwaGK0RzH1RVPGBTf1W9q3hCa5mOebNhjbBAVLzeNINmG/H1G2DOr7s7drvXhsP9+5Dcok
tN/wEHzafaAQGyITRWlwjIe0vtK9s5nCQelMqOg8m+zA57r8kAnZHk1Ll69ZE046Jnjknxxfliae
84zHYVOMN7qn/OMYtTk/+L6RYfQEZBpSWEQM6hMgUUYcyNF9K1kvNOpzR4+LsGtTKRIn82UzuYnK
tRuHIe6nDp2P9RwNKs9zHvfYbCzp200VtiQuq66+aKuonhSvfPaHL+pmO1vnVBt17VtmS5GknUnj
oSkKrbSjhVdpYc2JbwN72gULXWUZloUKltTUMRnzej9irrogRXaWzYZOqhp4d+LS7o0jdUATNhKY
SD0T8A3hsCwKeVEcVXkk3qdoCA9yJvDRkk2jjD3KwzqGRae3gejnWvlZLAn2UZAsxXTd2s5dDijg
ufK14+vUdsM2TAl50+XYl5uUB1irJS/TDyAH9qPSpgv+GmpeJ21rybZsTLvFnaw+6rFlsO9pXV5q
mU5cjV2YHfRpP8QzzMMGh0Sedr6eVqHvuzXGEx5XFTTqZfHoM9HFI8nTVW1pnwytPM3TIEMJxo3b
h1BDfGxQwZRwvPpzqlF+SHrZXkbURZtBFgFZW1YvV4I1/cqiqVjWYymydTBN6IrYyn+yWdtG8UIc
GpTJyJitJ1c0sDm8X83ZOIh136R5Ujla7xv4qJIs7BuY6HrkqrBFEcQ89VzxJpoWFboqjakLTL3p
WbnKwmFG557iEFphe1SpAlaSW1Pnpd1MlE9HrFyWKj0ffOfqWs26mk3/MU9zQpb31gcTr3Mle3Dl
zTWZ68LRXg1uGFp04kpXl9OB1N2yGeXg0m3da92qglTNJeIB3RYzpUM8AAapmjskJ4CrFiIxaQrx
0FWl71as9BmK+8rh9DTvEOPNfjlznyfzVEl3xKyjsKJ82mDr4wFi4ZoFeZGejrB1WBZ3ohWw4Ghp
67WpdC9V1UHwSlfTqFkcpMBcIzWnyITQ95nWdZzLwadrX/GqXtkUWME6Mlm9xGKJwGMaUoZDXOd9
UKnRzpk9szqo61WTafEpGEauUYIa4jY6FIM4iYI0Sw8M5Y5HRWwm2y3zvkXg3fJVm+W8XqV2XLq1
7K3R67li9byPrK3bOCJzpWM+RXO16XWngxhgJX8Ebb3gBCrUZZ3Avyg4rQoUWJhyY/4o6lrWW9pL
V63K3LGLZXCUrougIfgw97nlRvGc5G6T9mNrLiEY04MiW0i5HlqwYNW4KltWAk+LjEUxt/64FjMs
7QC2Sp+kGA8HPY2iKslSmg0JNyPAqbkFfmKWgi43VQkKXSLAgDqhc513W4x0uJ9pXrKYlGVHE93o
NFmGtIxU4PtWnhWpL8KY6q5YVN0WS3CI0ipc4zbNIjBX8naF53xptrnGPluVMsy92n1OYamlgeWT
0S6evA4W5SYd/NWbuZkDpWEfkRO8GL1oJcYwoG/mypPhhLVybhIjO3ccDQZCUmZ5CQNkTWG2Up1j
837BlckPurmuprX10aIPscvcm7Ag0VU0pXWqBIbFux7MxOnKskWD8QMu6qSiXWlj4dOVxrp7X3kP
zKLIivHSRsx/aPuc7o/cZ+lKlBEiyogU7hNVTTGtTT/ik2VqaXhuXYTfYBfAJzwLrIgdnvm0Gkld
6P1+IsRvDc8sOdUBl+8M6naLsyg6u+GVze3ZNIdOxKjzgE3uDRjWWHC6hxDB5DsqEKzuGrxkn0Df
2tRsnZUpOSv6oSwviDAy3E5h4YdjN7kd+czn6SwqAzatGl/Do5tmWUY1kdotG1Ty3cvvTPfgn8Cu
tsYnYWTgLYYugqnKy6ZcYlmOsHXaKiv1uek5bPl+AFaQwTXwqcSZ/LTD4dwbRdscAdy+n4bjOshb
qzQaumk9IY7oah47snMasJlieCNwIJPEO57sTP0uJVQeiFFroUQelbAu5oxdeUPBjKkv5gvqJmQP
M6C5xWHTmrK4FBAtNtYgfNLJrHsfIsI6lYe5JgeNyORwmOZNNiZzzzsPBHemm5bAtMaId/N1WZXR
2TRY1Ox3aB7LPzyrM7tfp0H9aV7kzoforsoTyAMEXWky53bdslr+EaC0Xte+zTrFQ3Bzc+/zC904
eyjrsoiSiPQkA7cXhRCOciLf9UUwZquKGNgmS5BSuQ1Ng7ubGhzyfCAwLKmV33nsVREFMKPTuIwr
CDK+O8T9QFicysqNEGnpiIB6d8VfvRzlm2AGmn6wSNfjj86a2aoaYz5utSdwq6nG+RKHPmPZtgVY
fByUkq2XZhzd8TTz6rIYbacEt/thPY3R/uIZgFMibJdNW5VNc2zYFB4FDoXNKu9MPR5ms2/zWES2
zt8AE7EfkTTgRsB12lGVufVWST+KDqLA3F1WWYf1n7hZqBjVAgxsfts6Gki4mU37Vc6DMjsI0tZ/
yDMUjHHFLSu3WiJ8PtkgXTb90Fm90ssAi1QTV9CzqayW6KRmbVWprh0ROw5xHk7xDOzGrnzeAmpe
GJ2pfuE1+A5rqxWe6NQnY0VEv1lEB6u/DKeMJ3M6IxunrWXdHz6a8Zsi72GtQaST72Ct1/bMSIPB
wZJWFmtR58yraXhPxOAFVmU58rcRMZ1PfJS58DhMKzFedKmVPQR3WNGrVlNAExKHeTrS1JXNEe/b
nJ6RCVVsm06NhPeapiA7Lvug9UltU/AZwMYGd1xVKdjfyzJb21yUeeInhLZzF8K+nxnjWoVpzo9v
Weln7eLsjuTfJeDXTTv3Oss/H6/5+uu/3jQ1/HN7UOPvv9ydzvn7t+Mvx3q++6nNTbNTguzjD+2s
+XovMOazdTv54sEvT6SUb4gld6eEvnHx20rK1678ndKAEcgLwMTvkfgncsrnHvovKtfDYV/0FChh
hLtmYgEhXYSUQ27yVU8h0GEG0giilCCKCVz6rKdQKHMiaEWCXAX0cJBi4NIXPQWaHKKQClDSofQd
SkJ+TE95kjvDYSTCoCuCA+VAcPzoYdYhpqyTg8iH00K79kBUMjzuzXQoTNXF0dC/Y3WddIUr903D
q+Umb2wXnA/zDBxv0THQi+pc5q1RrpzPXRYeNLZu1l1ltcLLDLpAiYONrsZQhW2+zsox3wL5RHHW
pqEC95DlsRw7s655Ww2Xc9a+l/ncqIBx4AvAAIq4JTY8GKdgOYhaM+VpPItZHwxVmcwkDfZd0H/K
pFlAkkDpZsYNJEe4lNtqyMZ3rRTikGhWHgtqgPvry3agebsS9YzWLRY6GfsAJXyUJmnoQpOq0kQR
JsFdYHlY8t6tugzHkSNuHU3tiYjyUY20keuxWiYVpA4oRW78fu/tCbZWxs5073ufHc3Yr3I0J8SS
YxRmh35xuXJFOygNrlAVQsR+sMPKAMIqSwO3godln1LfsL/mpRjTdRd1uYKcCOhqbvG+7IeLvKSX
okBm2LYsD9y5xqbbh6wmNl3O9rtotuaSOSR7lQ8pHxXlabih2I+FitLoU5kOfqvnZtgMpiyTpTZn
c2FPWNgemCo/6RA5FC5YN9YfBDVLmgVcTWcUKpY40u1Hb8iFdvL9T3Ex/2vOI4Id/T3n8bWb87H7
uBv4xX2AHBvSCIROkFaZuO89oIENhDwCyirI8VQi9rf3gK52LsGzMMwkFE93Gu4X70H3QhJB7QUx
HEGxjYof8R7yibACghAB3waqLCOQqDySLHJixmgcKDnum65r+VFQBXNeKWiptjVKZFiUp3IgtExy
lmJY+X5Y1nieMVez09GpqFB1OjRdAEn/FGwjoJnHQxnMiSfWHNaprC9navzpMIXtERxIbK6Bt/sD
UvvyMsS+PwRJBpIGN/GblEBq0oQiXeOij3LFO9f8lUOZUapglGXS+1aFstqUBPtkqUz0YRwZ/hRQ
vVwQy/QQy9w0ysy4UtBupJaWdclECqIiVNSxznl5VtdD+oYUMr8Y2qDKL1EBmqfdVBx3y3Zp87RT
PQURfEowB/IMDxzQOBA1gpTeQ47rRTNfgSo7nvc9Fh6ppidhki5sRCeMtcWqjiBxehsUS1Srbiw5
jyfgr73yPeRfKhrn7q9yGOg2HGu3WgghCV+c6lugjK7tEmyiPEFjL6PDsaX9VVpoRlSdz62CUh1o
XkE3sjmetaEUPKUttnPOuIR9Hl4s2I58n4wRThpeXLuiyg9altLlOCo6txWd0OPFUgi8nvvILDTO
YWFCSimBsQZ3cu5/m3T8D3qE79KJr02Iz3gEGPjFI0CVHEFPGwNKd+sU4NI9QgHFdSAS0BMXwkKC
7fg3odip/VCiiaDf/a6s88UlQCMs4lCujTCVmCHMfsQlPKkvQIWHCAFiMbTOczjR/ZBO2MEPXc1m
f4qasz4LV3PBk3tu8jMjvV8Cgve7J+aKCJwd+L0IQVMfhyJGuJNR76nuzPOSDnwYTm1YHGj+LkCn
Mjq34T5Oz/x4YvHq+88Dr/gfnriz6N4TySR6DRoCUKR2CJQAKi/VbBtSqyZr7LnvG3Ewuqg9YWWU
KsvWrJi7VZdOabRyoGauisywvyYiyZZR4A9z14YJtg1VVORHUVO9M4KUcdujj2NQfpJT8KdZoESG
SQhCX1iA4gDnrs1cRYqSXKz6KqhVnelsPyzZxoK2tI5ATl5nrW426TyZWANxgrxwoCDloF6Bc7wM
vIjbQV+IcTyUEW0U1+NR0KWAEqjBdSpa1XmXhDNVM/PnaVqBOhzQ/abBZ2NOFRx73Ro0aFUW2WEj
sRpo8LYPcKZG89e4QCbGc9BCFrvCzm60CzdhKw5yHU0qZ41fByBKbUB7OG4GvlzyW5LS3xKWZsdd
GJCYYsdmultis7SggcdD3U/NaZWFRw7KjyemXqL90LolqQfafSiROGLMHwdhfdRyvZ1Kf9zL9CRA
5cm8sD9wJZnqgkAqOKe97om+hqrnxypoopWPwuOpDQ9AYUjGsj1yqV8Nw7ydqT5DSxebtEv0NB95
yNMGAQKsW2rgrJE/tCP6oxvIKgybTNVmeRtVE2gq9Vye6MGcmdJtBuFPyqU8QE3J1dQypErXe9VN
wig7lkiFc7WyBX/bublXRYCyNanbYTsM3m2qlNhzobv5qIJy3NoKcljVH2XgT8NcXNihxwrnlYMC
QA+qWn2QVvpsMMGlH806DwCWZqpWQkvFa/eR58OiMCvOSeZXcqiBGk84gXQgCQtg60OTK9uOMfPh
xvfjGoVp4pgA0QAlTdNcLiY8q9Oui/0E2TwouOPFNOcXEMq3vR8SEGP/DEsTTzzq37QooHGh+0+G
jrCa5IZ6o5YlrRRUTmNcjjfIZ4dmYEkX4iIGD7YF9YvFlOoVC7zCaXaW6/E4jArgsfVmQtGq4iAI
Tumhtc1+H43KLi6JbHACaVtCfLAFR3E+i8ypVCOraAiUWdJ3YW9jAjsk7krjlYmqeb/0UbXtK7Nu
dTZAySc4KO3yxrY+V3PlTnTfgPSBkqIYYVmnhYwHQa7kUFwVXBw3XVWoqQCRyNt+Vqn1dRylo9i/
dTP/F/QQkMav35PxJIeO730Pw9O4txv7Ne5haCQIMYUghTGFhPVB3IM8OYIiPPBQDm2jf8c9AcGN
EogTBAJShHZ9hH/HPajeQssEYRD5GMfyR+Ie1EMfRAmIR0C5b88FQ/0c/uy6I+5HCVnzRe7o8Gk1
aighxX3XoINqwuGBWaDiFhesfjsXGVF8Co6EAc9TRPWofMGS3ARIYVe8mTJ3WIrpckTT0ZziQrU5
kwrUJZAJ9QLVF/fO1/MJr+k20kzRKm1UJ+xpO00HrB1YPNXdVi/gumtroY6SSZVyOW16Sj9R2Cmw
hHf5nC7nGKQosurLoFOLCNdDUYg4rKAqJW3+fmYpeIYqnFfSzXWC+vZNyIYB+GxAYuC8MW0XFM/e
qTDrxrg36R+VxIkjwC57a5NI+w9sKFWRdnUSYX7dFVzHI9N/MlB6FYT3LZ0EyL6aK6hn/MmycCN4
u8Spp+tc9IGitt4nbIySsRH7dgINYg7HHsoA04e5ST/UbgKCkXcqgh4PjaSO67DclOW0FVCoXuPJ
99CtEDRKZO3HDIVRMmHzZ9tEhYIATJN0cDcsJcuJLecr3Ubp4RBpKKhGENPzjK0CIzCkBbxPQijH
xXon3DZ2khvvy0McdeN7IceeqgHaY9ZQFo6XkOtVmPJmXc0UxRVU51Yiz5HK5NKogRh7PCMxJSV0
UqxFo9skhVQpdrCaVW/LfBVoKBnOSKcrg6w+1KipNkJ6d0micXnnlzFPGgQye2krdDyzmq8XX5bv
m34kQII4+3O0dX1he9yd5YzorcD9dNTJFOLbXDUHuzRiUEEYFkepN+2uCgSRrV8qoiCypR8moQMB
smXQbQ1B5yUE+FWe+/YtmmHiNyn0vvwVFDL7FIpqWNU7zcK7eViVIGPMNYHump2yMe40DttDfQVE
DzcvMOt+1YEYYkEUgVKYjINuOOl3ekm6U04gFZqAR4Cawne6SggCS7hTWjoItsWt9gIiDJQPM1Xu
dBmzU2jYTqtZwhLylJ1+w3dKTnMr6gDJ4XcqD+g9zU75KXcakIQi5JbBgQWV7xSiQIBWZEE0mnbq
EdSokmmnJ/2fMwfeHaFdP9a3nfm2bm96fVU9deS7cV8c+U7SAEUTSRxBlkBDoNtfEhjMwF1DDyF8
iQr0atzvMKMgXEAbOGQ+Egbe+fgvjpzsQcElEtDXQe9U1h9x5Jg+FTUgtSCgyEYEDghKuUsH7tF9
nncggAbdfDzRtsVrDDyTH7ectukntCwmggK2Q65pFdWIL/sNK0vgOilQhBVotuVFSnKfCJOCKAgd
JLOijFxnsPrjRqZXPS4vy7Ssz+ayzFW3MLKmEZBoiG32uGHsU96KAtwEOCJsrF7nkO+vuNX9ykHm
o8YaR0fLYOttYCrXKVyWZo4nZvO4gCzhpEWYqlHLo4K58lAy+FYsoDnzuo9kq1xX1qqqURvXEveK
VViehON8UEb6SDQuPax1Va7LQJbgtiACK9j1larLaF5PkucJlNtI3NGpBD7H26SbIPHoxGASFAbv
K4ZPWzaZAyCdbzDLUZLWIVRmNWvjTM7BSV+wa28qUDYajjfgij8tRfEX99rWKhxxvfUpT49aYKZv
+9qlCfQ7HWeWNtshL24cFLbfkz5H50vlmvXIqi7htiLQn7YLAyAAy8MxSPGKeRQchO2EjiLoMNzo
nEQq6wd21HN+LqqsuKxxtfX5/AY62IxqQhNukGjOOasLJdPexDshLskbqKMuJcdAXz1W01wGRzgf
asXnPo/ejy2U0FJEy0OXzthtsvpW91r6nvWnOWA3Qn1cH89QNIbKeAbktosLuBNU4mXgTlshQfMC
xhJE29bN5E1AhkpvyVguB/1o5Kke57ZTzSIgyZAwCempTJsshi4l+WnEsjwijUwwdDJcQlTE012G
/X9UdKcVfNt7/X2m5Kn/2o384r9uj5gBRwEnwe5441f/tSv2QGsqqLUR7Npo90VPXwQY+EYwziMi
JeIEGOfu0hf/BQIMHGPcSbW3J57YDwkwwIcfE1HotIVDM7cnH2Gx7r5M7r7/CkRAy36qmtNhhn6f
44K0UXECVaaCrJyrqzOuu9HFdRWdRG13NuTiOsxyv+pJ/WbEVQPpX33Ukf49JKAHlTUXutaJC0ij
aJEeA6E+bifo5DPcbzI6ZgnQl6Mc+T+WwtxIbSfVjAS6d0rWnEcZyL01CBj5UkFilZcJCSH/qlxx
7EBJmZgIk56OBn8gAeRY0H9VrX02CryFQ0O9PiAlc9kGKkghtJaN4M2gp4QWDHQJRFvFxnbLNa83
HZcHrBJL+IamDuqgae2LIZEyy8OjvtD2feFTkwwjrcl6HEaoZrihOOTWsCKuZGQ9lF6gD01a0Rf7
peHjsur6DHWgx+4qQZWfPgwMOqN8Zf7gbTTELvcbMcp+02p21aZNmnDfTeeFqPyaDs2xTlEXE+tC
4O961S0pUrmkqyYd3xKUvgv6Zet4cDHyOjaj34azScbAHU0+OpWg0CrRMugWIBez1Vdt0BxC212g
GjccD9xA10/Q7ouct1ALxhfjEGyh9XEFisUJkN1PBFq26sDvY+0OoH1hP0u7I/COJzWZToCtfkD/
n70z644Ux7bwL6KWGCTEK0NEOCZPmXbaL6y00wYJhBgEAn793WR31q2uurXu6vd67Mq2HTagc84+
394sw0NU1gdPsq9VNKUlDQ+5W9yychrirm4f63aNw0akdUv2lg4PveGpP9sbyYJnFTIoyfx7xIdj
DaIk4QpDhIw+G1dnQc2uvh0zqzmknzVx9XDJxXAXoUXvhzUNR562jps1YXldtboF/hlHdAUyG6DD
955Xqy+TJ+NANVdcy6SVdgcu+ipzfR386LT6dDcac5RU7iGqvHoUK3hhLq1v3grNZbZd+iKMvgQ9
+GTl7jmbz+40mHiMyHX0IMB38toz775bbGJW5yst/ZsaTS2wRp22lboZXNQ80CZR3n1EwZBMTf0c
yvKrJuWDKZ1d3tIzEiZ23qiuRE51zBb3bIP5DXK7SYAGpFXjnvNpPfLQTcBynovQ3TliPtm5vMFm
FHTF0n/0ofcwRfNDv1SYz4qJ3kNB2QtmyyvLg8uCKeS2r4m8UWA6S4AO2nfBVODvRefuljB6ti5u
qRFgTz0NTtIx26btEP1YivlKZpUGyj+HorifO8PSucWWs67D1O+6VyMX3H4+AzWZ7+duWnaOn7+u
fX2x0VwCaRi/VKCdfMcPwUSYIfM0gCu3atDtqCBMnLKfk3Zymswr3UseBA9BL/oEEpyJ5YwrPklA
YK2zHwKQmZPUh7asnMQZQrnrZvdi5Liv8mKDfQGLYv2JuwNXy/NMHI3DXQeBMGmC4eT5a5+UywDx
S9wGeXX2O2fv+jZTrLu2Huq+7dR7GyhcjNWBGjTYVOYL/liG3dOa32jAIWmvJRRQtFsg7meTOHJM
NPGixCsxCErRntHwjFDnnER5+psBZB4vnpoSR63X0fUvcyV+ML8DEcu9Q942NJ5FKeNGTg+s8Z5M
xI4OLQ7cGWvMfU2bEGEvNHKXeApwAiinbpMICHrqdfkYW9F2OzkuZ925Nma+uAVD93ViGNvLcv5S
MIr7HZRr45hk4tVtDkwyKTtVxX4vv0aTapJIlFEcUMeeV+3Xp5KyKvlncvk5uWxl8O9r/7+y8v5a
938msf5yxvDfEBaE5SmKT+iTACTFr7kFLUEEJ4AHVOPXduVX3Q9/w7YFHgHMGWHwn84YCsgDU06I
PQbx3M3J/ItZ+Q8wB26g/2MtEoZ/EaA2JStiGIRcGlH6sy/4w9xSKfTzs8nDaz4Px8J0U3Mx1ltY
ItXUtlsrPq57bjGIqFIV85OONj5BR01bnowsX2Z/eATluaTl0EDsNOMeo3tarQUOANJ4mLdrFutI
vmFOFLHfUJEtzgC0CwCWGzGTsNp5AVL40Cigc6N2q3sTtuUjOuFDZOe4CfMxqcG3FkQ41ypvOETx
qct65RQvS2vKuzwvBbsr6yW8ow3HTBPYfPVjhkxgndJckeYLA2q8y/sIDcswu7kBtz6U4mkM1ACM
u7LPlReVfjpU+oBHVS4Hj/QXMKlHO9IHWgRLmofNE1nrL2Mg/FiX7bvHhYpZOUJVAtHSG5lBhXwr
Nzavd4IrG71nNs9PI3YZALWdszM5qaOCJi4EKJcAM2LKFwwJQxMGmRuUz17u80Sx6tUr6GPF7a2U
cMssjvjhReEXNQYfJJAiGxT+KJSb+9Cv2hiUfHew+P6xV7TV6+IDJqysOJA1smnXYchRNf/S1a63
003VQAwx6KCkdygNgN1p6lNlxY1f+kA9VBnGoDLXeCAVTmrZASEmy9FvvfsctStZ/RJqSuAddLW4
iccrm0TL7N0sk4txZSQ/CMYLjikTTDXNsyoc9qqJvhelPsGyf0I13lwuDmS6NXoM83rC8nzYzbnz
g0brriYzhqP2WvQA8ae8T9t+ZQfVbNpQ3n4a7WD2FLaKR0e92zKaIVE133BLm9iLsIRmgal2uL3u
A7czseH6aqh04mDN7wCJo6nUqPOl+5C3jpOMNSwDZO5pIuk0JLjf0NLob6P0emznzNHgCpph3IGl
EfuZopFkpNMZVhs3alpu544+u4O5RkZ8kQZtLTYJT6ooHzZmNG3JuHcL5qD5MRiry/5hCfMvxGIK
7UY8Ii50PHA+mNGEWFK3z+/GfD0sde5A33Te+87BPj5oq/1CUa9XN6rB/EDLLOgAvZNgCQhfz1G3
4a0E5bzTnFrs6Bo/URNWPF1gz7Ryf4BJOoqR1+i0xYXJFjIoCU+geNw9iYA9LhguXTwAKRYr33vS
2t0SmduoD75NTkkSPOpTLBeFKjP6n2rBSqhq9cO4tmiDw8O6UUZhuLkJGo3OuEKPatfm4AS4O/Oi
tRCCxUe9eOt+DMNv1NJHz8UVnnQlkrr3bjiO3xTYw7mcHC9mQQdSWQXBznbyVhQsZU71oOrpihkD
nEeJkdrKKhMquvOKptsx5H3vbWt9DPzzEncN+2JdiMqkJ5+5F7wSv36HVHPTWZ/EojAU3b/3EQzO
E1ZoUaKUelLWeJkXAR9bjIs+Sr3oJThRRy9YGoF5Bz8WBjO79yVvQ1gjCBiIsnvDhirVHgW04aCZ
Hml3Yc4MrqLSe2iub73vvXQ88g8Raea4jcK7dZyalJuSp0HPGH5Vv4lBq73nSz5gYjGPZWPqhLek
PsAOtcAJWEmctf5ry4JHLIJBfAHc3MGEZFPA2TKVbdskjSDXaWx1VlH/Y1qXKG0ou0jpTemU6/AA
hSdKJicAVgNzRayI9WMb2HdnwpPsDoF/ILmlVzFTARdDN6fcQa/re92DbdhwXHhoMhf4cCWaGddJ
7EzhL6mgckkXWbYXFdqbReWvqpnnVKGTy+B3LGK4jmqspOU7C5swbnO5ZrTJd0XgLwfW9N2NboNd
VXoiLUNW7zhfVYzzcN03snvtOQX/7uwLm+8RHVLelw4MGlRjL7kMAF8io6Ld7AC4YXTJ79FMtbuw
c29A/5+xKih2Rkm+HzqMlxbG0iRH83uEFPaj6ojclYCGjx4mwYS2KzTouWgOZYNd7GoVro1dnB3l
BSDCBte1wJoxpma6ATXexwiOWaHOA1yuo2MerSdHrArYfNvv8mq9B+2bwsnxyJ2QndehAzs+roDw
puWuHcsvjbcuKIhuvQNeI+KxdHoY7sw767DIUeA/9zM3YI9dbFq4Bz7Qrcs7I7y7Jl9JWmkx7dt2
PfkmP+e1n1bdejdhfM582ZHUyy2D/6K/RlS+80a91UMOdTyM8pjB1prWDj1qny8Z9PApKdYOoBKx
T+5YfdeVc1f34rEqHJ3ARsgy2bss7oP2o17Dz0KRYGf8YEh7EeBbCq9JbU1eWrhd4mkU1zwa9Q7B
9FNquz5PdF6dGq7IQc6yeOrKOhU2f2GekbGHRxdmmk8odC/Ud2Jamms74VYOjHrPIX9k8HFUcF/U
T6PmItZCTLHnOPcraUnq1OLiYtsSa12damyKkgA1lToTDjDX/Zj5cAjH/MzzRe2JWI513kRpVzmx
pM2zWvrr3HgNhi54l3rYTHBBj93gnig25E7LP+3sjDGz+gbesEM+yA/uTLth1GY/wHcytPhXq50n
IglMaSclS5gWwpt2qLZd7xtg9W2yIbHsw5tR5Ntdw4tkYP1xHeyuhuslFgpOXtkOp3nF/Sxyr995
XvDhE7AcoHIehSzwf8YBDp32LPp6kw+h28FSKfbo3F7Rgd2IGXwsOp3YN+y4Uq2SsRW3rONxHtln
18c3h8CC5Z08VZaVe18ZCDTRcxHmTdKq7kpCdbc1Ma6Pghc1xZ6WLvZj3L9iXvnaW2y124GIxIG6
00IKBiYbpT7rHkYHGEIoqYt1ldqPel5TDNwZcy1IFr/lMVZIxU7keHRAeOGw6JdHNXUb+9FMWYm+
M+a1wHLM37qH/ib0y6Nd5GfpUrErLL9dXLnX634Ab+fxfQ9Zw53P3Km+lPVUbdsnlRBO99izt/ES
opHx1zef2x2zxRtn4hx4I2bJnJS4WN13rb3NlmJhoGhBtZ3w+HwplhkmJcOf3BZsBcOCb+gzfvAL
KBq6vplMlebcb+8b1qslIVCfbSYC6jrP5aQ1AU8Hh+6xwl5K+cARJz7tdD05yz0c168NocJJAyit
cbFCmIb3qTpqC3fzXMEiRhy4BSIABL12dk4o27SpHLsTULkDVY1pPulvOXfXrOFTh3G9cOHwkHC7
No82YPNu8INP+L+fAwG2WaHxcnJhdhGNbsow+A62+W4W8K9B2amg9BoFRzuekKoKsOa0kxs7i55R
TgAPV2SjIVDScP22a4fefIwWqODluevdIK7BF80mvE5GgL8Mzy5W1nEzyO9utKRDFJyBZqO70e0b
agtUmLpOqoZ/HYQIjmYkHyuscvtVEhYv4ByCabzr2ApQe7OjYpQAVIMNB8ubH71VBx/ATkKJXnfd
wM5BB79oNQHlD6eEKm0POHfPkfX34UJR7OgwHMYJT7T08ANpXyZVUA/x4E5ob1YG7hLqjoduN3Kr
16oTSVDeVi1WyXSJ4Yi5of3gxxGfrg52inHTmltF5Q84G7CzcJfELuKqC3Kl0bKrm+kaeLfMKDha
u7TvneI4Ef0MD+KNKcWLCc3XNtJAcFaSwQkys/BxLoYEfe916bxX0QK6HhycjKq4WZdwvZFj/YoP
+LUUDktD9IJZaVosa5XzGig9Pat1KmLdydMMl1Q6QP7AcnS92GnB3oS539qJfJ9ldW9t871qeZ9s
6pRaopeaavhBymcFI3L8z0D/c6DfXNx/P9A/Qgr86P860G9f9buQD7UeO0bP/7dYj0Xg7wO9+1u0
pbwD4/gFm/wa6KPfYNVwI7zlAVkWP3HJ34V8jpcDBFAAYFzFkY49wH8z0OPdMH8W8mH/8Dxw2jBm
AODbYJg/CvmT13imc6LlFjL0sCNO3WQD1oRVXPk8706cyJligqYYg2jetBdrx0ei6J7yCsdDDx+9
KAk9z82M40iico7ohMHQgE9Y/GHnuSa6As3TB4ye7b0X9NDUA+Oc1FLQ/SD1t2gFquVQ8t50AQCV
cr1XQkNMs7pOnRb6p1+EtyvH/NdoGNGKFjEcQlswZ7wAHCEKPPDKu698B0ezAjKmQETC404PTjhj
9vXRN7vV2EBxZQ1NRFs9BC7/sFX3qCdxbtWGcZBt/pqd+Vhs59RqovaWjOwV9PND1OG75G51AShr
U1SPdJibOs1tBMsF/jS+V8dzMd2Tan1SY/s1kt1JlMMrWLW9bBU+7Gq9pIFnPaALGiNLL2vLf8Dq
VyXLAsMh96bTEmqdgIbsEmfEUVLiJI+8/L0q/QHTu97leshCp7ugh/0mBSTebVMMYFz1GTxkb6uA
b1X0+B+8fUCMQp0Q6Xf8bvC5s+ydsVmwJMDPy4mdkg6oIciNrG/13gvnHYns3iPmNLrRzu3Xj5Vz
kdFwOjUz7ZOwD1GzB6iezTi0SaAAqvfctoeogLxqveC5HevL6PgFoLs2m2YPmR3LRx6yzPNak3h5
8R3xB59jWOg0rGiTmmDVO5eY+sJr7y7vFxaHrCOHVrb3ZQ9jO3x6AJUcrCJrjR1FMNC4Yfpm8syT
lPp+JIqgW8XQyGu526xutYKO6zf70WX3M1IJTNNGiAyBa7M3NbYeaso4w+3KB7SFoioMztWVHMK6
EZlWQ4AhPjeZ6KInjCB3lcKsizJzyi2H660b5tRQ8Z0sa5GYSX8PZ79PhtkR6WYXPORGB6k1VQV/
doDlkTeSmLhrm85BEcSFKSBehLintO8dPKUuJkeFhTUGqvwMS7LooC2AXzjVjr1nbvnShH4eN7Pi
GUWpU8w7wBsBsbaIbucG3FPteDQJS6yvsO+PWesaVG50erKebzUMDr02fbzY6n2UIwze/lu72DsZ
jDAMFOoDG8UrfKLobS2/TpaSDCYhwLtDM52jZbjzW/+HDOCuHNry4NfLm5XRFQ3No2hqzJl0fanh
rIoHSNI7TqXctVh8xyZnL4PugIDCmCFl9SFXCE3oCffraMONlGRoJQZMl4V41GVh8VCLOnPa6rmx
+hnGhQWbtgDCgnxtGDbgrtGIlNA5+jANu4bmT7J3Tm4xHXmkSEZmmrGyPebY8CNqYkxgKXBjGTkv
plv2ocQLv3pVxzYcLFCr8JtBGEJcFX50mFp4EQa43g/WxY3XoVG59SrNnbSDZ/vHP2XxZ1ncXij1
92Xx8v3HR//9r2Xx52uofunc0W8E78SgqIw0AmkPY9HvZZH8BjYGoZsIvMEBi0317/vt8DekIAGq
AqXD/xXz9HtZxDtzGDJ6Ob5ge9cC7Ej/hc6NNMA/l0Ue8G2V7oMhAhC0fYg/lkWHuMvgGews4Q/a
hdswaAagHDXmQ9/Uzy3mxXY2Ubpiggy3UbJRxaXW4wF000ewDZs2ojiULIicsD7BdJvHayQvTQkG
2MWs2mxDq9nGV445FnQhSp6IogzP3rs7ghgzfLyaEYEh7vTCMA27mIrpNh7DXvvKIhRHrLKfehw3
hwazdKFsjtgOOqX42Ho3YuLW2+hduN4L9Msm7baxHOPBkFqHBYgEyT8nO3z4NUVDvI3zXEtAO5jw
dVXeQ+74vmLydxZIANEmBmgq1qyCPkA3oWBEQw69Cs/tEOo3nATvJVQFhcQvnCz4FcdNchha986B
BiHr4qKhSchNnJA9JekAvQKnxx3ZAl+EqAGNbqJGvckbcArC/jjYd0zXQ1K7mx2g5PVuLemSYmP5
ZYJSgiEXxyYxgAL9OjxbFT0O0FWUcu+HxvY7WUOrdKC9lNBgSjOfWg2ZEikgAwJNppvCbWVcaEg3
bBNx9IgUEEcMPMW6Yv0KYb85RJqO2WhCCRsppCBgSnIXVfMPZ5OJiql0MfmRAmcJRCTfcgfHv39m
m74U8Ha3jHl+v2ziU9mZaLcUBIJUraK42ESqZpOrNHP2GvqVI0Lgnd3rQlqMtYUPfKot1a4qQoxP
0L/CTQgLoE5BEsshrHVrFm5yGbzi70jvgT63SWn1JqrVm7w2Q2erobexom8vomoxjW1iHDYQO7nJ
cwQ6nchdk02bdOdBw6tygFehN80pmj3ckGNIr2QT/XoEtCTFuL6PPfEx8I/ghDeRUG5y4bgJh2KT
ENeFX0IVQM6f2UffTjoDNYDwNNMkvsGtTAM5p8UkIGkVC09chz02UCynTboUasA9xMP6YIa5TobC
Pjqb1Ikl7Tt2pU1sVc5wdjc8JZs02kEjRfjKDOW6Dg6Ooi+R9N4I9NRwE1a9ebg4yoEk5/AuDqC+
rlBhlyhYcPHDLkybIWL3qOUmOLqr727iLcWeZN7ignwLDbp8ngs8816FoKt6RDFHisZu8Y1/F1r1
Aq51wPQvXJRMM8Zwwz7NxbaWym2fIUsk5hbChNZmwVCtn7keLQKrEPiBFx7GOdbY6HALduqxkwJU
jT0vBtYvq85vscc4j3M0pKNuPoXpHj2/BCbLTxPHJsDI07qWe69Sx9IpL0RiV64BesdBPWLJ0AcP
RLMJ24Fu2mEFfuI+1i2ADG90WHhIxMEHj4rDYIMTccgnQ/gRoOTtaAoAjKjlqJ3lu0eWIu5ciN/d
bGwslokdxWp2cG/PWKrJ0JjnBii23s1lG6wJhEn9CBhjeNLzbF/m3MMIzcgw9QdfcPpaVJoezYBM
g7u6qAt+gzkjeM0L5uUXSUW1V9jLp2OUPyNMgWV09nBr5EWd5bhfDoHGgG/lim0G7ruMgj6PcRe+
jMF4WIEuwszBDiVbc9ByaB4t5oA40vk9X1f0SaNJVrWuiVOou5oV1dcRSGimgNLEfVV72VjIz6IP
73uGHA7H0t0ihvZQL1WN7U744Efmh1qmp45CccBTvOd5/7RGI2BKst5FgTiN1UKTtiXf3RnnuIZ/
VGIp6Vq3TozJh0NXoz9shvwW0XZesqA9BKInsZ8srFvdNJvqNPjN91BPZeZvilQIaUpU8s2DVIVk
l7cZ0lXTwVW5QswCA4HncNO3kF7xBdx+M+lUVQeOZJ1m3YtR7J2J3xabRjZBLIMD7Lgqc5NvKloI
OQ2AFDw9m8JWb1pbqOyj2tS3ctPh+k2RazZtDrsNFUtPZGbT7RYIeP5E3ERZbWPQ3Q9C0iit+/Cc
Q/bTm/7XbUpgxB1EaHnXYNMIaQFlvIc/BsmDTwC07jTkRAdCDrAI9iz59C43xdHO9cluGuQ0m1Pe
rs8U4iSEjttlUys9yJbtpl+Ost0hmwMCKseWBgonZNAiYY6GiQbyZ+MLP6HLBE9tncK88RhGlR/D
0/YBhLvf2U1B9bk5yU1TVZu62izzDgDlMdh011GUVSwgxUYsxPnsI19jwubKEY/IwfjeQbj1Ovw3
s5wnaLqVj0tNOJbJm9wbQvdVbvEho+hAoQdrB/+aQyE2E7QiKMbKK//xrG4RGCC+0V79fT95/j4M
H83/0U/iq37JLIj7jSKGHCx0bP8mIH7vJ11EBeM/cwDd/xJMfvWTgfubi14SvAWBswf+dnSBv3hJ
vGKRbEHSyIAgwBzxapf/op8ElfnnfpLCThRQCgtsQPBigT/xktMIw2Wrmb1drD+EWTnlUsbYuyxp
sYgSGm5+MismFHhZp6nCwsVFZATeKybMTbsKAm6RrdV5WCK7ZnL2DFox2za6i5FUxOj7DG576xv6
fM1M0QvotHN/mJlbRJ8RUa55XIZh6HdGhPDf5cu64jlutWUIcXByBywiK7wVtF9l8aCs2kWvGI7F
7GbKK/o1w7vrFEoeVO/UjJW7HwlMGft+KgL6tXadku3AUt4Iz22h2kPfOSBzcTnM/jLKT+vzeVdI
DgG0KCRM5XizKTmU2KghhofXbyJvWBrhXHTipV2mzKl7BgYdtp2oBL5OFLDNifYw09OhhN1P+XtD
FqeMaQdLD13KT2adAD5J/imbOsDgX6gsxDC+bx24TrHChOwaansqCyxVuDuVgCpQQIC2o23qneYN
UG0Ve65ByI0CHx33KJLY1YKYdxdBDrwPwHzB0vLd5TV2+6suji3y3O7gsSxjuK+iPW+bjypc6d6v
/SJryynYD9qIjID/RPMSAvegY31XkXFIOiB1qp1gmu86m3FYReOC+x8lVOAD7SvcFlPtw3ob4KDR
RRhDm3prwbMd2FqPiRsBfSz7/jO0eQ4VW2CxruSErr4vFvxOXrjX0DSOESIFUg/BdlBZsDUtNNPH
CuqPGCXWgCENYhra5T6Kcrq3kUbs1FjSGGQNNoV9wGM75hDY1x4fk/vf6qZCgEiHhqPvodIhHRAa
dFgvOLHRyIwIx90D3OnuiwXn5VxY8CaiR/zS4nZYBEHmuoGVGS08EvuyYUI1wWKhzWY3HLEPGros
n5vq4NZQ6rtcqsM/Y/jPY5OCzvr7Y/PLz9jxvx6b21f9fmyGeNUJzIs4IClyC30cgL+OTZyoQMoQ
Q4G8Z4bMHpxYv9RpzNpBgNfW4dz899n4+7FJ8WZaeG6QAYDm3N0Miv/FsflXdRo/GA4dgs8ADZ1H
f1anARYTRIDp8brWAHJmMb72CxqOqjJ4LqYaGWv1M3VzkcCwh9RfbuEExMjdN9OdGvQN9tpOPFDE
PSL/B3KdOJWjvGDLYrHPEo9Ib/4xkalKHL0lXzow3ebWu+i1U3FOkAWphva2mcmzXaEFD8G3qMMz
xsso2OU/bYwOQKTAcWA/K8vYg6UwLMAdiVY+Ud68tov+OiEVDlQ1lNOcsaceKRfN3DybyHnOm+VU
svAW5uTLVJVno8XroDkAB0w4CE18r6OCZwq/GPzDgu09Tx9HV7/Ai7ZkAbIT8W2XKulqe4CH7+vi
tX2G4JJdEMDB7EnfAmwTNZoZ/qMrYXLkNTsPpv5im7VKeEEzWvEHwBI/oIHdwUG/xF6HAYAU0mS5
tUgBnr6B7HqHvvmSd97toJv3IGCY+6q+yMbGhocBS+KijQDBYaqWxWvtmSlra96mllWQ31r9bt3o
grAVk2KzjhBGILdbWxntYA/oE2CLZzNUxy7Iz01RQ0wBIrHAx096CyU+OhQefVjW6VME8iNU/Rdf
FHvEhXxTBYAKEuJD4iJFpKexteB0PCK72Js7ds+m4QLo6xPktU5B8u81yUky9hJpdcR7Dgr6EJgl
T7movgSF9zl6bLpZxPbldBx3gT9+U854GIDugR5hYMJHsRk65Z6x+gVxCdXOa8crGF/wQhXk3Z9z
EyxKqA7VjoRQF5Bjvu9MqeOigp4xtrhqyiDb1aMs/YkFdivfMTEgsGBoTyJXHVr2ClYHIMZQdNeH
sMbJ3IBH74IuAZjG8Z0wPxIzY0W+DjKtR9xxOMUdRI3iJl4GXEPltUj169dHXeD8xdZjV+TTDkG5
jyv3jwDi0Px7NTICurxIi1oCnhurd7T735BfZyDEt2/Exbqy0TAXW8xclgjkJvROop3yQBpHpk4I
Pz4hes8Wskda55gMxIkO8CvAhjbxDyW7M58R2t3CrwklwECJWKA/YHrPCjV/1R1FJgLQFtyNYCJB
1kNXANa80STB2q53ambeKQB/mM4AUIub+idtCQPcMyjCfsr6nzQm/gwgMz0TInaACerv2E92M/zJ
cQamBdMZ9Ui2TFyuwjvnJ/W5dKK887u5eBEjYI0at1AclEF+bYchlobBbAAgjQC3LsOoeER6rANf
GZ3vSe0c4a8SfjaHk09jkHIwnnI2dDdjSCBQdGI2SCoDSKaw/vAT19b3WrO522MT432rLCHiUjft
iHOmLt10ZuE7KcZRwsOy9Grd8mijNcurgHaZEF5YfCHI/x1evHwq8rT0V/BWHVEsf62oKIML8YC0
xnU0j+0/dPa/pwzA1H9fLv/wquO/1kwXX/qHmglbFirgFqT9n4g23uSM14ZxOLV9TCJIgP/fmhn8
xjGDYFUTYUwFgIIV8a9RA2+ZQhHGFAJ0Ce91xzD0X9TMvxhLXbCQWywPhHKMPH+umBLJmtw2kbyO
KltpiCTWffD/vZLA4/hF/pCPA0kcPwXWVTQMiA2D2o4/zx/l8S4XdU1XWL6MlqJONSfNFuoMcS/3
vSqTPiLqNbJWz2HBka/RljBBrfkJaZjygbTlfS343qOlOOO5GFPiOhSP6VjHtStIQgrk93nqZpzK
i5iiQzu6Z7Lae8TRXrpVn+bevxV9cSSywoE3FUUsSQd799aN5yMYDuFFP9wZob8QvvCPpkKoeD1+
osj1AKgZQ4efjxEWcPj6OUR2C95HkLOjRUT8PrdzCCcaREkZeSWSN1cMWcjAhSHXC56QohoiL5f6
r54CZO5ghbEXpCpZVo5dW2d66apnpNkAe+SgoQ9FhI3ijeuDVEGiH7+yZVjmfQguczOmoWkwWLjx
p9XrWFp3HpKbnZXRvavtjISY1sWM2iUjVahVAJCpc8s7z7ng+7eQ0DWK+zye9KZP6UCkbMx7zEwe
IN6QC2zvguo4ohryO/y8wX+lSxHC9bJoiEfF4j9oONLmu9JFEUBfE52i/2HvPHYjudZs/SqNO75R
CG8Gd5IRkd7Qu0mAxSLDex9Pf79NnZJKJdPQoAcNCDjQEVBikpXM2Ps3a32rMa39EPbhM/Zp/XGw
opAV64z/syuYMtplyj5YVbmbsIYNgelirnHuy9JGPV+w+0XUrXtqNUXMTRk/1mE4s7Q1hrPT95bf
8Z4f0Si2r20UHqYZFcs82erKqeOdpOaKb3GXrBhyjTfL0O8TGYCNUyrOTTgbygrvAFKp2YnWZYVx
f0p1qA2KZ9Xxo50bQIaWfPDMmhVF02EjaFWIOFM2xXtI/5FvwQnYdF2muIUT6Oc2GlRBSGo3pjZs
R72wvGgCiRNWiUJDlp9Ydp4QTUKMbOJrvTQgPvSJF5jZlkiR1As1+ap1xtsO7u19OEz2RymzW0lS
zxwn86OMe8/IWy8NauVOlvo1A+I13sbUdyTm+jZXzQRivDWrb23bvRdx8z5jmaoTyWu0Ye9M+ZoD
BLf2stEnQAz24DGQ3KLhOC4g3rjYv8pGf6pzaZ2NCu0a6uJ+fisQXYflG3e9Qv2VaTS9IT+EMTwb
Zvw1W0zdh8/f7jv2RpC0l6OaqzstVE9APbyxT5+JffDaTmOkaFt+MJjrULW3vbww2m25uQNCF+R6
paHXXingj3eI/BIP0rZnWNYVf8cbSifu7HgJvbgJ0F0O3HmMdlGaBep1l8GnGOvuEKoTH2ZE1Fk9
gS0KaCVBZR4cHiK5tJDnN9ys9tGutKM+lY/S0rkpk71eDa+LujpCowOf7xzzfriOnHifqZWvQqFj
uDCt1DllDwxTgloPRUXYyOdUSl/KVHmpmJ3HbXooM3uf9Mr1MioecGSvzLITA2cK6Xo+LJbF6IKe
2mb9UKfWtncMz2mqGKjRtJqXcW+Xy7yrl6LYYxpgSBxAF4nQg8xhVnjGpKWb2qko6RTpZpmlev3D
lfQnBpw/AQconzEZtoH/lj+1f9LrRLPCwsTM2O7VqeoPmTP71jCnbL6G7Njl2ghoFAV1GeUMGZZ3
parb67pO5TsbDQ3gpumGKvgoT4GXOtajPHUbyFgfYK1Dlk0oSMIEFwGV3bpc+ExntFZlYLTuyPxm
pdcDNEC72yJz/Ir1o3fjpH1Q2TP4g9JR9LCGWWWFi4ylnXZKBZqqC4oNsMSNqg9XmVpu2tz6Nmf5
bW8le5Duh6XN9nWvHq2qPNqt6my6EdR6O8dbdYoMtx1iVivI4yI92YTcS14rtzf63Csu1Jq9HDk8
11ooH4MOHUTSTPdJDAbWMXsq+Vm96PFSoIoDGTPF6WmolnMEkRBU08YYu9iLs5oZOVKMHvoagw5S
FHDmGGF1ZLkGV7aAlp6NWGPzLfdas+KnXLjXWib0zSVNshu4mYJNRidqFlIMsobZSNNcxVo7eDmo
HsYlyb0+o64Mp/gV2/aB6AgaWT6gdrOs8eYJtfkGyJax0pXnJJ+9XDNdbNzbkXNIa8tvpWMd5Rp9
aOhI3wLFXOiiauxK7QSwJFd2UiXOsu4Yw2dR5Wwty4zD0cM+g0xR3KSdU1+Pwou2GIpXIKVf6VVi
o0RJ+odS08ZDHNcNm+sx3/39R1UQLH7KczEJZLItFf+CrTs/lQjJQvvQMMY7B7ROWrJnU736++9A
yfTDd+AlAR2DamJCwVqYpLefwKCEuBSG7YThOTNxT5oX1iDbuLppRnyXTebGJjEJif/335N57X/z
XX8id/RV2lW6JkkneS5uQXxg5+RfuBWfGIbOeLCLxO1s4xGu5W5A5+Oy4Eh4Kkahmo9Lt2iWp1Ky
jtDrZLfNo3XmjMpXO9ItL5eTe9PORy9M54OV6c9mQByGkmkmqralKP1+sQrfriQwnNVgu1Yxz7ue
PIGvZZF0a53RKL1D/JbxWfVJvog8TuAZJYEpu0ygb3s9Wzach/cga9RdHmpX0dx9w+Gy5VK6a5tm
bUJLpgVOtpocSX4iU6FkY1Fs5qWXXZiLWOlHAT6Npxs1KnD7xejJtNBcoYU98KH/qFuyedoq3jW6
tJ1H/W5akkddTvdGR1fZpBRrcaBlbtLFiOx7Y5cuyUEdMfjNgeppGWtyLUg5ZeXHQewj4yQ/2dG0
KZrRH4KFT7Dsp11I6gaj6DLJ7VUFMNRrsuBUYQoKDWurlCY043C6jUzU91Ml3fUd3jdNgwi9WN1G
qrDiKX35aob1qZHz67pC0kZuAQLh/WCgGx4MbWsVNieiotwXc7SdAvbqQ9OfK5M7EqPdjjHou13L
vRtg5a4NfRNW+tEas196MVjkf264hA/2959xUYj/4LccdUoMzMfSKTkWV+FZWteH+mHcLDtjax5t
rh73TR1Xxl45FS/j4e8/6yK+/k8eMEtjkAcnhNC1339zpYrsIrV16VR5SPCOqlute/wmB+nRWiPC
ur9I7vFx8BmqDK/8IzvPR3m1j9fBGXJC/t/8NL9vbH552jU0QwbUHtoo46dQsVke2WEqSXSO5KtK
y/CnPTbDL5Piv3y7f39m/fF7CFXQD+/20uS9FEVQqsv6PWy2znz99+/on/4dLNmxLLF2YiP0+9dn
sLFIMtks51K6qh2eB4Oa85cT6l+wisJv66/b94NI5/uTxp0v+rVxd77olm44fExM7IOCufR92C1w
K2wATYFIAZvC7+23Wbe4W9CCgdc30YPxRd/7djHrZs5toZ42iP76Z0ps6/dPOmg/AKG8HsposLuM
FX66zZRAY5xbobyJFklr7pl5ZZjxizlXvCiSmBvZSavGp9ZONSBzn5MlZkyojBmAiqlT8zmB6j6n
UfPnZCovG6atv8yrjDZBhNIG+1HLGKCXWbmk1yUe6grZArLTl2lUO5ej4DybRe3pwni9WBMNWR19
La3IXKnCno2aHZwlU7EJ5zY3XQrUIAWljas7UoKn6tPnXcJyR6n16f8mwg0ruDCFs8LDEupFvKrp
lv3cFSddms3tHCXbWI+DtYr+2Ze7ArZKMVRf1WR5CQfonZ2ZB65SFet2ike3zGF3JtKWsqUjoIXl
HeCCTUa+CcC2/D4OpTf1VBUgYPXUmxjguE7GwDvIgjultq/zUvadGRXacq105v04tI8owHwdjZXz
PxNr8b+QMM2x9dcP4u3rW0MAR9GVf3waxYH3/WkEY0QwDhMqwlwZ4wq0/K9Po/LFNtmWf/8Tvur7
4yjcDya4IVXj/3C7cWV9fxyBH7HNV0j6tjWH8/UfbexVQYj74fLjeeSRZ8dlIQDVcUh8Jun9cBdo
yVC0SzmNlynDHKr3cbXWhijxK0iMuTV161ZKsQlh9x6eicE7VALdaIJxo02KYzcg6ssDP6DchIL1
aBvQlOfCck05Jq+qW14NgYYk5Ox9NGvE/QmpSVUW3Gq9ZJ5oKHjMBq1eV9gmztwk4J2jB0bs/ojf
DEWMvWeZsNcb5SOd5ocxynEfp5c6azxLUbcgPACNJeCE4pw6KclYZS8znf0kQ5whoiha6Yb5nlj6
/WhKL+kgvY9DBO0MJSvBWNgUijL/VuPRwAYmnTt56NGW4SIYBYUOSNLXOeLxojBX3MwaOpYIdFP9
XD5EeXmtmqFPOB1ipZn8prpnKRQ2mz48hfHOrLQbtPUnqKLvC+P/ubgyFUJotCY9FyIoaEoecxRK
Ae6HqDDuBgMRkJx8zKRg0q6p1+T6sYLrERMMYXtfSp26mvuOfj+LMkStGcJAR8OIZWIrxMjtddYI
+gcbi6tlUeMTa2Ghb0C+lscKjEZAvL7UmS3e0nCbRjr7IXwbfS8lN4aSqdD5gVUlM3gpJUZba5SS
dmrqNIaZzTI9xdS7X6TmBm4nEGKplDf91O4QvMSMcrp4rfeJse0DZ04filCywpPaLvlj0hoMHbO8
rnj7hsWdNHNEBxWPPg3NR+tQcEbDJeqa1NXytrPwDBC39dIIhXqelRYYKbjTnJpKsMYkoFwsOZ7c
FoGaG6ozBGIdzFG+qPG9PdoPTRdPGOiclzSeoArTf15GYskw1/Q4S2f7zilGjMvGBvVIv8lwHsMU
VO6lPlC8HiO4PwVLsRmI6rrJdWE9adXi0grTrMx7SdF/mkhTocgGblrpFvGgdTZdEanW+mQWVXdI
Br+2CIwPVqrCgU6i90qJJuyhs+zH6EQluwy6lUxlmUuG4lpO128bRplbtTGz29qss8tQWsVdqrJG
rJQ4cge9uivtzus6U1otPfEEYWygdinAPQQSFFz4WGir58vYOYHLbYqlEdqob8TqeOjgPCL3Y97b
zTjlgsqto/HBnvXK1Qp5xguCYjXUHfahky7tQHuPL2kyQnle6sCL7a7YTFWZvqWa0W6zfoRtW9tI
K6JpC5oUcHrnLLRJS4Wl2nCa61FTgmMUavbJHuZzK2CsjsCyWgLQCjWlIaXMxmIi8K2SDci1BQa5
SgXc9fMY/rcwFKXS39xHEZaD1z/eReKrfriLNHx4jNY47bEj/HgXaV9kbimHy+a71uE/d9Ev6jHi
q6kMxY0k84L/uYt0+YsKnc90bLEg+oxU+ScrHe33MwfuIuQWvArxSYamIrD4qW9gPyNrVVZnV3Jm
YRnX+3al6OPDYJnhBlXthfg7NhtLfELbOq1Yw2xZ5ZNAROCGx3j6vezjExqLO0jqmVtQB3mzBquz
DRER2NoW3O7a7AgknZTtCJkrz6V0xfzJozN8bg3UzTE1ozZhmZ7q18hCQtH170DL/BHiHE4tZMxK
daon/Y27e8MuAXRPC+hEivN+m1TNtnGcQ5uEfqka6wU7OM9ktEJ8fTTV8t4iUWFUI7JTGz3eRIv6
mjXyWpXlp0gejLUVoD6uuIw2jZKx7jdsbi+U68bUDWs7qA6dKm0dLSHBMrkNBu6CibmWP1TTdaHo
zNmR40Opk7eML+SDBjnRXexx8aRCKVZSbl0cLfuGjqrazKqBHDRkR44E/a7Jyo+swjclF0BFcDaf
CHArvThkwUWBmrkR1TqBm+XMRWdjjYAeYXSFF47ZfWc00j6vAQKC/YwarMaF7eyVQQLCanQnp1AR
zPYbtZuuiVGQGOxI82rOx4282B+KNI0rSS2up6gAW2o7z0miwOmrpFWN5p6rTsvd2dTuljx+TqnW
x0wYzW3GrVqMwR2ecVLLHy1W522yTOxk4n72oxbEMV3GNYnqj1HCzx+CblwtISNNs9K3vVmKKGtN
J5e2fy+TdCe1mTeGzUoXCCKoJyx8oBnF8tSSf8pssyyiJwqGm6khC69EArdatH4Thojp6qJDGzYz
PB8Tvi7TsMooeapv0PJc2BgJ0Q6/9xYwmoJxVM6rZ3wexy6Jj+TgsRAKFds1TIoKXS0WeOGYm7mY
GfF2DNe18lxEzrGODWsH6wlIUhvDyiuf66SGFptBoO1jtgh64ZojP+g4LCmYjGFbK/KVqrZuZeAp
T5Xg0IT9ri2q+14aNmVbnKKyXGOjd9hIxBRK7YAhxxwFxhbWrC0PT0sdv7eDCuZt2sBam72kwCCD
PfFCMvajMVtXJQkXLtTDWzvN1p28r5dzN5wCibRW2dmFU3FRjOJKHYItG9SL1JsOaKJho2bQf3qE
4AQmLJ4KLW9lJoB3pDwO0DtHAXUNZKyCFy1yg/GxqebuqJN1kMvDB2pKup1cs3xVBA4QXvt1gvkO
JvHDSqYecXKduGLnuVEKYxcpteEtgZ43DMk1DB8F+HZJmkJE+BpoDiuCiigR194g5wynqNtD60jW
+aB/640OkHuUfiu14ale+jcYBolftpRyoTZeofckYiM2ByTvZudzHA3os/tCbQ5qmHUHzp7aE4Qc
EgjrGq0oInWjIKMBpGVlGvfDp640oq7d9DpLznAk854d7YQG1f7Uo9qFhDaVRYQGNIBIVTSrGnXR
mXziub/9Res6Oo2kHfqpLw+jQejYU7Po6nBhcLsF18TqIGG3SH+or+PYwPMgL69KE960gTbAJpr2
ul7060Zqpo0tmQeDNtgzbF1f9Zn5Vpdlyz7YBJWV6E8knNpuNBB9psiLuddKPsxQDtIV/znOEaN8
IYLuNUoalSlsgsNkqT/w7AyuFpVkdBQMS2UEaKumo0aZ0+k0Yy+B0JCs00o60ZVeS0F/yO3yZYjH
DwYDxGTMCSUCm7OwMvDLaNM+mqk4QTQ4VvUap+WNiVZ11bFe95lBsYLpxltZTc5ERB6lZH7OIvVj
UWReJSStbcjJgo09ku/UeQKxYjR+EDY36cTRI0csUTEUZYcssk5ymhG3NZWvY7jsIg0TLIZp02Xn
yiRXzc+mlS4eJU/oy/jbVG5MuDrGQsZJf1pkFnzE4DIZTypmqwQEtKXcbTS4DxSNlWc5seUvzcyz
FEh3EDYWI3xUmxZDjZ6gf5HAv9ipM/LN8Zs6qbMFC4a0lObM0zB/4B+byks+VXBWy/FY2fQFts2O
OVSsSzwWJzxwtDYVkGMGDGhOt2HfvZrOOPsofm/nTKr9JRfmE4cLxEj6+6DvMeOMxSOzkn0ipfyM
/fLU16ygeep0PgPUaoasSi6O2/fWce45oNdylR3TPIIyFmpbLSnv6wFvRmxNGHhlwZe6GrBoO0b5
NeaiW7HgP+t4r3Vs6pBA9WATLEoD6aLZhSioOXXZ1aoGeelRmu4cY7ZXA4b3xFbrTUsCghvr7SWN
+ysqkTVO/geYMNsqraHa9SofwF6foLLhf6Z1rj2HZetGYqLjWmAjiIMeNoUkKRuTwJ9dxxvqtlF2
kdFtrQA67fuiaFa16eytdrrPCiYnc8klyJGFV24JN9KoHDKaNkIa2OGS2JUdcBvSzwFhk1rY0qgm
8t2iomYegkBZzVodYCPSdroeX7FQf5DwcqyJQShWHHIccMa4XXKo/7JhX6nNsDBu0kitLqe3ogwf
NaOm7bDeFl1D7060Yms+lWn4RMFuep0W74K8epKJctD05nYk00YjyFxjI+zKmchQH1/DPNv0lvru
gMAO+/h6USwYIJ18W0AUAYlprDnrI/ffsvtTfSwzwfzrsnuTvRd/4tkQX/RD1W2zulNYkhIxqtjM
cn6dAKlfxNKQ/zFbVQFe/DYBcr4gcMJA4TAhkpnH/jCQhZphq7wW/1DkTzL2P6i6ESv/PAFiAmUz
E8b8wXHNWPj303qijS116m3nouZk8qB2WKpNo5Vhca1JbFJ9IyI69wWIfXPNOKMw9/kQF+4yOEcz
cY5N4RC3ladf07rcCxct/IJwPZPpBDpJy2jFG21BDazVfj841yAcP0T4rms1sI97dSNZKgVI7IUG
GsKw2tgF7KVK2kpx9tVoJs0VNvcwGa9TlRwus2sQhphbAtO2MihIcK4cDk4JYCCZN2i/zyp0sFgl
fGWMjGzdI06alQGhp6R8TfB2wOllq2VbT7TwO3a3b7CCTjYKSsMP+Ls9Ow2W5ICCsTLKdzoMLyVH
Ho0UdV4ql/WFHdV6IjXUVQdlSy7iYUhBdowd9wxojsavcqsgTAn3FElSGIDL5RGa5okWJYfV16rs
BvXGVykwI13d0MGH6ybVwFo1Idlmo/KK9POQtukAZsLCRVn2z/kUvJApAxGvvBAtjdUD9Mc6b1Wi
SuViNxJZAjSRPbmCTdSTRx2jHlfpBnuG5sGFzNmzO0eKgevcwKAQYgeJ1OTbnA82Nq9Ch8EUPNiZ
rkArmF8LtR8JbFU+aDeo5PvdiC0saYRv22HBO7QWnuGxH0EPIIuZkYUj8eqOS5q951IxPvH7PHTG
y5KbJwpqF1ryVVYne9kMbsc26VDbItLyFMWpoyPFfw/iCVSFGApmJeN33ClOfZ5YcO6ylp0cg5xo
E8NuYGwSMruG8x/trbSkkoQLtON9qWRfl+NqEwW2cxsQy+qAZFGmgmwEGoPBmDHINIaeoSOewo1C
xkGG4qFBi4FYDueqaW+lJZWf/j0OP49DlePhr4/D03vz9v7tj1MI8VW/nofyF9lQkYEywRaLJf7o
1/NQ+QJs39Rp0i2FERFiiu8TcRJaYQUxFAAURMqy2CB/n4gLnwZCUBZLxExjpfhH7F9ACj+fh6Rt
cujCIOaERQL70wZWk9RRId4jvSiy3jV7cKaV7MZDrkt8WlJLcLMFEK2nC7tWrNTr0XCyUt1Ou50c
JJtCmOEpeBPIapFArFWw1hQu64NMkACtpPDHmh1DvBnRKd4LYZ6l7DPwjG0rlWI3ZldVpgBVpWyg
2lVfA6b3LnulQ4Utl9x4lAkYdWE+bjillnVvTw9ADL6ZWHorreQFtKXahpOxHujLSflzSJNOPgYi
Un24NuaqEy7hCpjLfYBxWNI1WKXyTDs3KRemlNdjngg0IH7jUDiPp8beDiY9Up4SNmSqz2SCoJgv
ySwiACBzy7IefNIlk22l5agZG4umtgwwItfRU5/WnVcYgFtDAQ9fSFVZayjJcNhrON5Gs4u2URuE
MpHzLD1WPOCoVTMp20aRXPmpnsBPUpTsgEMmvLE6a3o0h0bYslCTsyozLjHjLjdUYuVMvtKe6Yx6
xVEJo7kF72bWSCEa9FvrqMyVCMMd31pN7MfAqbstyWGsDiMsBPOgTKtuSoN2n7ACuMYEoR3sqgFy
mwOMCfkZijre65ZkKjsnZSmyVsHuDjOh3F+VWtM9hukrq06SUzT0zGdJnulo0KOC5DGd7AbZyK/1
xOG6mmDPcW+l73A0HmsSH0oZwALo0E2Gf9q1SIVoHOnUipiIiLwIo8puGJHsK3IkVCk9JiOS2FrN
7zQRNQFC9U3HpqyGItRxwhEedeTrgiSNVV/TBi0BVxEly4m9MHFl6einlcgK1Idgl87Rrs+hM04B
tn3sCBhxlvBtmUaWk3JZQr4I8nWZNxXCl4JiuzHe4FU3jObkFP5f13paNPm9Amkon+/DqZs8Fp6G
F9MqQn2qWHCgQ+3MES6obGBBD/OYOycEIcB/mfC6keL41lyBrpMFd8SgmCCwYNjMBBh68iSfLWNE
CtPAa5grVJ0yXYQZTzSwBv72OKNzknP1xZwULqi5vB3FMteZSYcJitZa1TgrHVz6KxERD8PDes+D
8FtW2hldHR72ZGbWIiVXvUG+4TyovsKwH2rdnPul0oCnL0dnbfPRlxmxeYVMrLgXGB0Yb4mBEvSA
xCrTfdF25d2/98fn/WEgOvjr++OZLvOPt4f4ml9vD+ULdjwWnwqUeIeG8YfbQ/3CBlO4nC1TFri3
324PDAsq8baWATNHYc7MxfL99oBEr2jMvhHYMXEWq9Z/UE2T1Prz7SFqaZ21LbI9jAk/z7A7ZHkF
8v/pUnWY8mjQ2TY2d52akyolNjuLUpR3MeEweHry/LYVGyAwPP22XwIF9vSEAFIsimpdO2vcez7u
IWYmVvKuEW7tdmLDFLFqcsTOqRTbp1TsodAHQrXJ2bw6AEvudGrORuytOhZYQxwxMwgh8AJLDG+U
0IIhhgbEDwd2Xxyu97nYhmUZY83E0bhU+p3Gwiys2ZxNYodmim1aJvZqOONeJNkcqQHth0Ls3kBr
l6dI7OM6sZmT0mJyFd6CS6yQID7JnbNlmGRcwlHl5vlEUgk4VSYwVVUhllqQq0qStYRik/a0z499
PW9SR3oeBe6qg3sFpAZAMSQsuddBqIeyr4bDPoWVRabhA+/mqRQQLZLEulUpwFpFGr0YkLYm0yFE
B/ZWiGFBtO6YlkPCeOFzdQLUpQlkl1YoLKxDFqMLOC/JBB8mAF8TrY5J1O2qWwpmMYIC1gkeWBRA
XS5AhPGLTlzHrG5LKTjrQMTsBTtCkBFWDl4sADPG0HY4YiFHAtWxyq2BkTF+yFZLsJyNkl9pV00e
ESpXaa59VbXmkSDCNykAS15G0T4FdWYK5plVofpVBAdNGtUdjaSB9WDCCx06F2os6HO5vjXBqJWC
p1YKspoBYq0Kl2sd5Foi2GuSoLANnyJgQWYz7Tq1L9qMbesr+gVj3llYFH28EAcpQGHpNnQkXgYi
FIiq8S616Rpuuk6PMa+pCWq6gcQ44U3dDyTVMu0vABpDqkDLigpUTAoDWUHEb8CymI3Ut2sFvp60
qDeNYQzuYJMOpofpW61W+orDfvZjBpt+mTgoe7GNkLbEmxy3wU6a2xrBY6owBrYtV+aTqoXVTVbA
+BlifTfZTrtC9S7fFVHQrmCIII0EnNMYCYRex8wFDZo1LLefNgfv86xuY3QKu9Qw7poueFGLAkVQ
SqNpEeHWGiSa0SSvQCzKMEXMnYQv/mJ1c7ma7KbDrBKba1YBt0MqWIadcSSohGiSYnZcGWxUk/Xx
ni7jALgHSFIZ81vqaEm0p1YJLtIYQuuAtINplZUWbZXr5M0G9TIoHywGdp19jTKDWEuI8iqPSVVZ
yP3z/KWK2v1kjdUulSzby2JFuaD/F/GbUnSTxHW4L3QGsr0dnIeatM7EgUw4OwuSXAGXpO6B2jFd
zwqsOEKzcaPOi02aphps5brTfbst9c0cgjeWpbrdVXVxCCPZ8uew1/bsVJZ9nSjSRi9r2S/r6tqU
AI8s6bwnc/mpknLtSk3YznP6sVGJdceN0movYc8NpzDwQe0/11YSfrRFLuBTvX5tJcn7kiwMMAtH
g+X37/35eX/qiDX/+v4k9757/S83e/0zMJ340h+uUUbT5KUwqf5PBOSvTZj6RZVVhlJg68TAik7r
tyaMZBVUe6wBvvdn369R8wv6d01lXCV/Sj7/0TWqK39YBWMetByZ2ZjB6pnL/vdDKUsJlSxrjPKi
2qyIWCCqeE3n2Z/EwF6dQoWIw3SdafOuyKGFrihPn3PHErOpte10G+qMs9XXmHckZjaBL+u0bBnV
2jGLrfLCmfUwy/qT7YBSt1uhtZEghc3pndkElwThEkdKmFL/Jdb1FGoLg99FjBoyROZwRUVRynLi
vIgyFSHEwPghgvyMH35VyB0xt9S1iyhwlZA0CyreJcDZj/O/ZANJOcwhe55EgTzPS8KApjXwZlE+
D4N8j8nEs5LZR6rYep2jp0JNRdFN9W2KMrwSBTl5tPkahEaJYU6U60Xy5qCX8mdRyvc5wB8YXzuy
OYJdJgp+OZ/8kpHUBr56djAMco8CkYAUiCwkHftGXJOOJImcJFLsLyiOWA/MZEMt8O7N/q6Jaxac
aX1vWuGlEqlLbJ9xLsX1mnl3z+FCNlMhUppGXa5dTJJMzOr+VME7ddO5hIoxSGISszeIewLlceMk
AT83SPIVHqWtJbKhZkKiBkU7hcVyXkR6VA9+AThS85QRLBWAwFylRE2Rs0ecs0ifClMqDpFHVYrm
shUZVZVIq8pUc4fR+ToVOVbQCUdWjaFfi4yrUSq5dbjWVbk9q2zQdeKwSjk/5sRjKVl/0DTysnKC
s+qBz0zQE6UVm93KFula8sAlpUOEbQtw9gRw1bV2InA3XXcMId1apHSlSuGx1to0iXSVTmV7WmiB
+e2R7dXb5o1qqienyoDHzcPk6iIJTP3MBBPpYJnICUtSGewdAoU2bO8mkSU2JMUp1IOXWaSMZZK9
IcfS9IxOftAJIoOBa3lKxjROZJTZhJWFo3JUCC9bCDGDe/CtEalm+UC+WdCaOwzeygr/5bHr20tc
trWEh9vKlvd5ytKtRaiKk1YPoFhqd1iGA0EU+qnoOc6TznkuU/mGtf83uyKfmv1WtYTrELJN1Y6M
SqR1I6t4z6JzXJb7KWnPRZldUXakXt2iBMiCHmJfYHwsptTjXxk1HaxXYBFYXAzLrWoup7BuWigr
8bhG7cSYQTP5vszwsmYzWkvrz1a0HRftqjGeWwnBX94794WjrLIkPDTCb593BqGkGovD5apfCBtj
p8ispb/msIPaCDVCNaqVFNPEBXVwpbXdEZELLlMAWihIbtCnCFnj7VJNbMSbnlHtxOhZxXHJr4va
2QkVdsbQKtZaam6yMA63cNA4ltgvYY3NRO4Pn5yiovUvgHSt8iW/sifpydKLj7KRv+W2mrp6mT0s
RXg0FIQYUw1m3iBPeyU3WO2spPpq9xKw9xRv8ITzdJblq7xE/9CT7XFB3Uw7YE0+fuH3nrKKxIzp
RhvnaqcVw4tS5utal5/m2AKLgz0I/42XTzwvtt7qm6kPH4vJ6T1UjuvKnjdko3hy1Vw5MWMW+I9L
WwGcr4MzMDzcY2a6LSlv9pZk3Nt94PGd2ew6+h2dlrohIqj1llqp/GpKJr+W1NPEY3Bllc6NMbfb
KdNjt8gG8l5JyFbxngrYrboyrM7j70p5nbY6aWwobihL3G7uGI9lma/Y5UfovMUMtXBr3qS8J9wD
RCyFTHC6zL5CGbrGvsNvcUhJhwwYlw/LGLvjkGyiumb3nmQOq0XpGy5u37bT2jOMcJ8Z4TlKVBh+
fTwcdEkpfH6h89ZQpxtBvFZyco/IRUIVaDPqnrDbYJsLdxNVcyB5qa0dIojmIi3pRUaMtOM4Rj0A
IzvUp7UU1bdqHGzMZW7cMDJ7Rh0Kyo6wfUvViCCJVts0hrWshromktdAmqBWt70xHaGRAwjX6k3P
OtJIq/NYVtmuUsZL2E038lz6iL/ntWFah7J2tpIijXfRMvfrsVffU4fGkfHGNXFVib9ki/bveu8X
WoLYuf1tPfVfq/emeG2+xcWfTCbEV38vqRSd7FmFAsnhuBCJtb9NJhSLbR6zAp2xBFprmaHF95LK
4E8YFTjosL8n4H4vqbQvyMaFJ8MwfzFs/JPJhKJS7f1O6Y18GpgBoDcFjZ+qyeLP315vhKHk//0f
5f86+OorovWis5SiWTAGEGU2aumdOcz1y9BokEG7ums482bJsrhaF8Tcwf9n7zy2Ize2bfsr9weg
gYALoJtITyaZ9GR1MFhFEt57fP2dQd06qpKOpKH3uupKRWYyTcQ2a8011m3yMCdpsvGYP+hXbE6s
NQblEGkGNMEBErlbzq89YCNl2p4QyxjMb2HkU6MQZaWyTz4bxlSKejkw2mnCdtdVWhbduWg26NM6
JpCFJnUAveGS3OekiDygU04M6g19xnGBSomZbRJtK9gDS9llLXaKuGJc2MvHQgyE0cxJNzxWuecy
WiXJaPatgpkGX7e68FOYj2czHaoXM6+TF82u7L3lCbLexJAFqIpF6K4yN4lPxBS5PVk4SCR8N3YC
Bg/GoQj13M/NpD/pmsyvpFMMt7nhRPARU8PyY1kMe85qmxOhdmkn82nxPcoBvuOEZU8rIAW29BOR
yVuNQ22Bu5/He/CSy7fc0Mx1RJJeW/izXtuNscWJnaCpBc3DessdzG5nN7whLfoSbXjpYlZzm3QA
WmYloo8KEmOjYHE2i8FVXQFEN2HeAa13+Wdz1YQ7SS170zZD8sX0ivbGk62EGuwIhNmtFd3nY3Xl
mUxfzqXGq3kutHAAYNfq0CnDoKSCjgxCtq7d2Ehe0qw1KEj6rA85PenSRzQ12V7/5D5ormJA1ExN
p2MuY2t8d0Y3fPcUSoJherDNGEPVYJ/ATbQa4IlcayTHadw+R2SyNqQPap7vMBD6txP87ARVz/Tn
J9e+z7+W2Vv3x2mq+rnvZ5Zh/qJyNsG4kJlts2D77cwyLBI9OMbgVprYTX7YxaEIthws+Trocl2C
f2E8+39nFopgXaekYTDpwGdR/Jd/ME3l9/x0Yln4X1j4ucJi4wdn5ndNYNfPYy1Lezz3+jFE7z5j
QNj98KKcfzVq/w8zwzPEio5zzvo89n4zcPNXMDGWTP85GPHp8Pf+fCwKInxB+bfV2Ry9hBGbZbdQ
bCPTKPAN603NJh4bWnqzlLHjXkVRJJ/Z1RvpDRuN2Y/oq4yj4VSgAMpDHU2XcZBtHBNbWUx2bc9F
PM/ZOSATOyu1w9xyc9flXadXIWMvsVlqeTvF7T6Ya5ZF+bQFTyUgSddHrRqvNTf9Cq33VQuCdV9V
hyRLnuchQRAWR5QFOA+M7CCjtl6JqfloekmZHI8gViy5i2tcKVouKJYQHNUDtVUvkweJaNpsEQwV
z6GjH3TcbSu+fuzNivcMTwZxDRRTc/4eVDqRUHnFRFWfMP+C1ayyHgKBHNdu0ZiU0hRRldS/Tm1x
NC101MIq7gcRgr0yHpqJEaoRd09pDoE5msdvrWMdZ6sptnVSAYifxrVXS3NtxxydQdncNTGFj7TK
bgO15ZSHReN3rXmTjV6I2qR/1hJzu7Df2TAAzVeu0X0ksiYjkExnFm/luSitCzk21qbCmbSiVU32
jj6hLICc4E9JX2ziiktJkAfMgHZ5EnlJxmckwaJrt/aoIc8y4MblKMY9N33R6sZaGQzcuCmSq6wb
CRDW0iN0PQbNomYU6oaXYfcN9dvW60kwy0fDt6YaIjDZ5sEyWH5Qu4A3QnFs3L5Zd4PcLdL+VsXo
nse5uaC5/eaq0pyr5wN6F0l0lrusAakzenc+LHRvOjrcGMEY4YTJPjK4YcXk+iVb28Fov4okgddD
zAxK2OKQxSm5lUO3jV0n8nucXb7VdvS3mu75dtGfe097gHvT+nT5KBuxCZGwesfWrl7Dz+79IjA3
mQUcY0CLsiidhOcmdwZq0XSgM5m84SlF/gky2/lIEu8LncvnqtvcmixOV7DH0lORZ9S9SYzLxNYf
4GQiOrOrY5Sa12EmAdCU8IrENH0ZkoxPz1j3G3fk9ZByeUmd4J4SA5FJUrxbYnS2Q6M/pGFGmlZB
UaG58XoIO1IWtY9Oc1803CwMipH5mYLsXJaYoMXk4pTGpjNhcVYMpLPNaDV1QOoKwapIKet7OxyX
FQofPuVk0zyk8HIPNn6ss2OO93VtoAap3vO2OMRpBamprN5QA9DAyxgcYAddPh0JkWGl/GRZ3Tpz
AtSpzmPhbSaWlnNymaMvjzXttukTT2l+shqkXk4YzTC6F2T1lOvGq0q/zWwGH3x+Q7PaTaR/MHrO
UUUBypcot/lursyoumpL+Ry59jty9Bo7KxttaxHbnDHLEM0XCMteFRsJyMcxt/uXsMfBxZlz2xRi
k1TithTmAeLs7TzLtaOFj0ZKgolrkz+sX3hjeIZscZ7ziMKn2y7EsGLheusHAtpoI9Zp26WbPND8
FAmzbBtWpWRRNtVwJSXjixr2IdXGOoptOJMeSofE1UgU1a7nrnnMYy/dBEb73nbR1qinJ619t3s+
iYMjt6aVIFMNChT9BMSPyMmSfgYwyXhFPkpQQ8xVGsNPQsZ+tlt11VVqms95aWl3AKMgwVCTMc3j
3FqlpVVRS9gLuNy5bHw3o6V0zfwxrdtt043P45g9MuJ40fPGvNF7ezlz4dXbJqtfa0McosZ8mwL3
ul7mKw8W5brICauwSaZcA290UcDT59PA4yrJ3fkU5tFdHIZfEzCY/pj22UVDnBmyL7gwAb4q3+rI
tjF4F8foPo7LZO2Z2rEf2meglgthmGa+DbRWbSxqeAIxd4/voaRFqJU567av0Mp3cMadhCyDGQ4y
nsKSsDfigZAstD0GPpnv+Ta76zrr1pYzDPtBdOMO1GCJja6cgSnqeMcysoHCjlxZgiLt/Zh5Yo+q
7Gyn3S11n187YpcMSiqmBd/oxxMGQuIeOclzI6a7kJrz4Fn9c+mNpZIvBFd/fe0qKsrvLl2Wt666
cVmSYkb6+dJ1sr7C7VP359IFayiuE/fe4Vnb6PYS6+mvH+vnKkJd8GguaX4EIhvJsJuW7ce+p23L
CSBlO57dAPDgYz1vI+3x/+8h1FP4obUa8SxlY5+N54ovJt3TKhq+WNXd/8ODIH+if3SosVTV9eOD
tEijp6QYx7PZ3Nfl5aRdacPhrx/ij28LL9UPD6GW2z/8HR0JRKGwpvFsuXd5vV1oEalCCvmazH/z
SIhef/cB+PmR1DP54ZGyaLBzp+OPYQ21EgWBysaxz0/jsBlyAKHLr03AnxIvft7K//oZ8HQkALTA
JtYp9XR+eDiayWlpOjGiRXwWDJikcx9GF3P+r+rv1ymJEkz8ea9xV+KTfv1jp6F+6j+dhvELXz8l
NXZttBmqlv/Pwsn8xUa7h5Xnu4vwP9MR9xfOCKxfrJvUJuhn3YYuwTlLy0KXhK/+HwUEYpn5/QeS
FkDZH106GhOa0+/aACbwWZUSZ3ttmHYTbW2XJQAqj/5bkyBzs2Ar6nmQ7rWAKXAivMegA7AeYHlj
qCi/dnl2R9qEx1LBWBOnCB+rir/2mn5oh/oy1ZLQb2z0RFwp8PWo0VJTfKGWRVfG0XQBIv1AQLNv
LvG12WmHPPJOJJesRNOqAJqEQfyMDQPm5b6Ime+N2lqaGINHpwRYu5xTmIg+lf+tYXYvWEyQzabF
zZxqYlUCBtIidg/BALsGyz6kXOeCPiKL5y9jqA5cO7ltG1TODbWryO2LXCfkPsEMPRMbe9Ir6zpi
BaAkUBeLXV0NRX/htsFb5UHVMpwvBv66GwpfytciOI1cgARFI95o7E3rGuK1mbEOjqm7XtrmEWn2
G5z4aMXuuvaZ8z5MUsNuNfCH4PVOU/c0Z2G0EfwNgZ6e4qV6JT6x3Q5BGm9Ggjs4KWp7V9jBIZgi
kIBu/jDjd2n78QsnCmN8aVxObr3rLKpTD0nManDF1kXCVwf2dWqwc1Nox34Uuj8v3mPieNt+tDl6
op3euYPfuslNQcwzRpUJWNtyObauvhmD6jmObOKIDRZVtcdF0s5SIbqf7WW8gG7QrLo2/yjd5mQI
M7yM0vDKi6xoXXTOBgtg54vO2LcBPJy2Du+NrDmACAWmKzvvODqAepkpvRWhvAuDeQdZctow8D/O
pUEGiKm9T1Z1sTjF1km6J/7bvigZHluDy8rBiFFpJN0Z82Z2CVfxHiWIoDrzJLYSOne4ugHJR337
kYt6n8hm5wy4Y7q+Cbf8w5Po601VIpvR04FMKq29QzK/S+z0xZoF6w7GPZVr42wFPt2V5AAWRX7T
J9G8Rb64tTo0oMTcbuZIIn0BWuGnS3OiuoYAmZM4iPluZ4TlRWpbUMDAN6b4xa10PCZRl/hRM181
Hq+9pbIh7G5FmS/nb31YNk9R0an5mAf/yikLeWtUzCTgKDa5dqNXXn3bzsrsIiaS2E19m5LQgKQh
+EjD6T2wCeeMUMMWei2PspgeW6f52qUg86qyvJGht9Oi9EYwZHdha/ooutbVxKDOlAMIBr0h+K+7
EuBF+eOqTS0lbdaU7MtusjZRYI342+XiJ0Ob+6C21sClt6YzIzky1mRpfnEDd6N78wNvNJzFhN4/
1i6LOtpFqXYoWCE6SFrCJFt7WrCHiAcxsyAq3mWIZy1Hs+qeRN2sI3sO1wZzgQFsH77X5FLGNVuS
FKLoJIk0QKlS5bwhjx18mHnqUQOP/pD3h1gLwFrA/JxhdEax95wz5li1TXQ5MAZmYxMTG587/WpJ
WXPU+pXZed/a0eJLMPvzRMp3StSVWc0n6A6HsVGsK0PH4DiOvLc2hT6atbb51jfDdTK56zax7vU4
pKCfG+wAEsq1XWws4qFQfEYr4prI3Uz1O7sP3mtHhSQO+aFjUum3ctgjSpt8rWYwa5LITXbXRQRA
MIltd+UCX4us/jTK4gLNM2068UVW6L6gV1t1yPd75WEA0u3J/hw7w5NuVIeAXQy9pNyAL+T8mwq0
eE55a/ZeR1Jpc23pzF/CZK/49gi0rwJnoahSutruJjD6I3MftMPEZk1klyyLsXWcZmNq4oAvcsDW
USycwiaJ092FXixbbBT0lzPO5Ur/mgX4PDqj/0I+FLlOhm0ehAzPQsWThuGNWNxLz50Hf1lwyzrA
NnXYodj5EMFWYbIhw8cDWGpDHoqmMwq1bZrNZ8NzP0xjwRULExfPadu4Gr5Oxtuj1tFxVedOug9E
B0R+btu9P+U2LWliZM+pGRC/Ug0fSdtfRJP+mPUFy/HyMvJa2OlNfMuWFPN082GH86bvRXUFBZQp
zfKQCmNZ2QS1cAJv2sK+abQA0rvuvWhO8zTV08WYRxjs+1wChXT9TuBAS0k0nZTeL7ywOrW2t+ZD
UHtIykVQz0qo1qaPAzmg6VpgTt9CPh19d3I3mR4fDJuxMrAmsONl9GYNZr+eh3Jat4149ci8Eg3w
P8oFqO6GQIe1IDQz6w/ZQYb3uvQEnYPjcp4KJg3xU5kY5DIZtwABII+U1mqK2m82249OV+vM+bp1
Jpx7nF+NFD2ivuJhmrVH8prus5jpFqkzayZqgOjn8XpIAe5Zi3u3FOiuMnJHbxqc3BsbWMHeKnRA
GIgpYHAIADp/Q4X7oykB8hZjSpR4KFh1FH4/F7DsJYQ1M0u/Fnf56hll/7n22fr63uv9bXsqjyS8
+t0+voSlv472gESP0N3Rou8+67p/4RomL+hfFLivxf+s4/fwv20A+cHvNa5wfkFTBbRYiZDVYPy3
GpcNoE3fgdvPZjkMNP23DSDVL//cIPKTFJBP+8r3abppUBijJSYoiEHM50rxH0zTaXd/qnF5Svwy
JuoA2BB24bn9XSccs0LD+dqZJ+E66JFtdClh5/eOnR5zxpcVGqthkbghLL0ySE0rgGL3ZbAOI3QK
Zp/I1zRSWYfoMXVkJzIT4jyKllF2MswVGZVD4V3nZYft1Oyz+FB3s3EP6UOzD6LVSXHwPM6qPDCD
Yzo7OpUBxhdxF0svo7QMl6z95hWhM564bGAGVlztg1Nk78HADK0s4j7ze8vtE8IGKOm8mpvhtqvn
7mBlBkYAogNTsgX0uf+yWMDHmQpH+oVB9B5BhHXi+UUxRpto8mqUK023wRwYX9jdbF0GwVJRCHuB
99q3MBdgWwXjspMW3/i0iPpzZNgq3vmLTMNviUMEpbQ8rn3Hfq+6/N0B4A0cKq+tNyZxPpR436jD
8VAsur3tcBJ/GR3goYOhQ8xiaCR8okySVRd37pNgnozeZgy+Tdxde9LyjANZVZjjUkPBGxp5Jeue
U6qq6p2l6mQcwyTdK5k1ozHInw0VlTcQNhi11drpuE/HlsiPLr9we68kzryRp9m2l0NqgdsCGg/C
iXqLOoJ4ZCgfyGLdxC/bvsAXl64r13t3rUjbucOyz4R3bQI62M3BSGXWIhELA+birTU9q0QJJCQL
AGFY7qVAad13k99Fzci4Dk0WWNWJYbg9rVE82JsEhO+1HqbpHUmE5i2A+uI90a0GgEhcPDGManzu
s7eCBcevp+e/p5bFCfOXp5YSg/L+/5fWnJ/8fmyBqLPZB9t04Mg3yTX67dgy6NrB8agUhO9eve/C
BQn7ByKQ52FI4lBTwUnfhQtoQTnSGOypMwaL8j9KejCU2+OHWRG/6dOdbIOLZACgnsrPdx/hRqUT
uq7KKIqJVJ8dkuwNoGXZVDzFjelujKQRq9aAI5YRUrOiiTjUtsDwpudYYfPxOCrqCJpIPFl6vw9L
CCC8HtDYShPWSJ9se5AIiUy+jgFGU8Fxg1QeBljWEeYic4pQrZq9c1TnD3aDmh/AAeE16XI5p9ie
wg7mcfwUJOY9GsLiWgpm5uWERLKPJZiISTCdz6KnAMH7JvW8G6SE02pCtsPyEWy+gZKnQNLjIO1J
qmne6lOx0drpFpXl9aRUQGAbaLuRGVn1zlY6oQHBUC6bu0gpiGiwT63SFIWduUt1L/ID5Eaz0h2V
YTiwEkGLZCJKCuP6DuLXNlJqJc+iEW2a+DAgZBIikjA3xqshrNeGu4Q010r4NOV76ihyXNI+IhFT
sfCW2+BTLqWEU1JJqLIY7EyOqsqr4iObM8gn6K0WdFeJEmDFSoqFnmo3KnFWrWRamhJsCSXdYlex
7dFymUrUZaLuopaqQHmYtwm6r7J9M1CBYdTdANIkQVkJxCLRvkaU/EDtmPRbqMgSJSczlbDMdEih
UlKzWYnOSKHYu6jQOFDKc50LyE0I1HQlVYuVaI1b3NgthnFvKUFbOhDsi8INqKZ3RMi5T5X4zUEF
pys5nIvcmDiQC/LuzoTYrLtM38GM3pZKSEcg6ZNnIa0rlMguUDs9D93dgv5urudnAz0e+sYvlhLo
5eZwixKTqSfaPR552kyo+QYl62PKZq5qMZ/pp7DOof3zlAhwMJuvQskCu0YYBxJgnS8RQCdaUsQi
m7kgWE5ftnZqB6smGaqrcNDksQrL9mYijg7d3YwDgReoJkbJcVFuuiMAaHPlBpJtzrRX4ozZBqlv
Bs2LZ9GHWHOxt6C0bhBtrqo+3TcjS9ze5iV2w2Cn5dHyYFaEk1rGPFL5yzu3di46Mb9nUU1Zn9q3
WYCVxFkGcCMDAVLjWtABbFIHQ2XRRm/JUnmHrpRvk0p1Ngl6QpFELHAp2puOZS5fxFOQ6u5aNmN1
JMIDkCENeJ1aG4x3rFZDt1+JaeYnpqFcFWM4bxMRQLIKzlkzsyfJO/16iPrSd3rLWAdLdlEbhb5Z
dKcGigIXSwxYs4rjmBiIawLjJamWfuU4XXcZsTI9mQyw3nU9SO9L3SI0d3Bp70QWsRD5t6b+1er3
lwKV+/fo9b8NjZXf+oebybTYdOA5wCjOxuCHm0kB6xx8CtwIipxBLft/NxMaFIvLB5gF2rlPVctv
NxNxp56S4Oke9TbV8D9yKdgqHunnmwmGMXI6HosQIo5nLtUf1wpFRq+W8TSuBzI823Vimg+hre+T
omDnl4Ub0UHgtBXhJoCkAHFUcB8ZzkYM3rGzU8evQM8RGjrfk4+J8jPJMcAJ4uxKJ98kffUtNCYs
cEvXT0hKHYQKa1PrH1sssrdznow7p3GgLlozanfyfJzaMP1KDs2JoXq/skMj2k5SfCWp+UPH0byv
xuKqMRLB2Vji9oqn/hZUwg2YHOemptxG9DcSQJ7hd2toEcjdUpdOjyJi9tgn5jwrd0q3Sdhre5HI
YJPwrQRTGr+JAobIuh2Q9HdFMtDkM31CgR2sOhPkaxoU4jowEkxUfcF/Iz5gL0UmVhUPv8QktTXI
8HgUfA4LE0RoVwrkY46nTOLHKKPjVBj7ruFOJvfmtcvM+sIJsfyV3WCD3UluS9I7iGG+GDSdaZBj
qsh1bIRLJGJiYxqwWkw8m8jBCuJqD9XS3nlNs4co6B7sejmDpZgRKnpPaOm/lU15VdOOw8GIjsK1
z0gU78MBpcw4Nush9T6ayjrovXeyqbXX9B4Olkc0N8j6n5MxOzpF/DIlXevPnvYxhS5yjI4wwGz4
Yhfee1XI+oD0IvaTonOhqvGyDBnzNTMKo8s4Hhkr122MlLA8u3PyiB0AIUHOdCor7AnILlvhnAnU
amnBOg/ti+sAprOMcpOGMVLIEHYoGEVyL7x0m+vo0ScCBNetPt2XvPXZJ60sHui/0EiCKs00ImSs
/lwpvJmuQGcNxDOr6p4HCGgIcciBNMVbpeBokcKkFWTkBAqcFhZy2DoKprbUbcjDGxOZueQb6Z/U
tVgB2CrLPGgKyRa6OXRat+SLAK9thttmwW8zFcgNDYDciKQFpuC0H4TPswrXYfTy3a/8SsHg4kWu
nCjwVhLGIjAuviPBVEKbURi5QNRgbynxRghz4cAgN3KnaxP2nAGDjuHftZO6IE7jbU8eRL4OxpPH
72yt7q5SGDsHnl2aO0/Sy68BDRLpaCbzOoB9lwo8H4qFV3TPUsHx2CVjzkwqb9NKj/AvhJ6ENlEG
pNXJMPpdq+UPbdgf0jokpqbK9wIOX2wwv4PLZ/UgA6RC9TXTdJ1nxnJ09ewlAutnO3AFHX2UB9ya
l4aXX8UgADPFAsSeZOBvSYnkdahIQvSwBL6LGPhJfGmAE0Sx/pIJ9CEua4aVA3LQkvZT37QQfWAR
wknx1pPiE9qRZa8bxSyMFL1Q67tdaLEg8ZyF4SuIw9EJnhbFPKwr2JsLlJpF8RCZsWNL7rJ1BS4x
WJr3WvETGZspGxIgHsVWjNgC0d8zmh0ALxoAGLuRUb2pmIxsnqx1OsDtIQXmA0rPhQXAMVbaq0kx
HTPgjjqQxwXYY6DYzI3iP9Zdpq2YD9wyVnkR5OWC3ituDEWNZIT64Xj9rlM8ybpgsW+0w02DwSQA
OTlELc5UxaCs3GOsqJSBzG8yMJWTjLVjBLgyVgRLvZuODkjLIVQJvxOMDZC+me8UY4oOCqHOoqOM
UVRMG8vsWmuyD5QQ92if8WMI1TgrmuYUJW9NxbyzhLOpK+KmpdibxEPrF2OoLfsOMKdU6LClXm5m
XFMbbQC+lpK8OKET7BXWE7yn5+XD1qqaI91WxC0QhX6taKAmuyE/c0p7G+Tzcw4ytAv11xr0xW4y
oIm6YEWxPD+QQHa5SKhLBcH21mBtG0Ck2KMvSBvdJ23Q7Rc+RD4Zr8hbwJfOUnxbwJnaIWf2BOAU
ZPEG+e47M81TBwB1AZQoFRG1nXufFNyXEjVbkKKem/AmUZztJTBVPSSRZeBDoHMeKdqqjGHVsX6E
sDDL+wok62LZ72nHQRmbTkmWE4mqOuztDpCroMpaTa133XiQ1gxgr6R9tsSxoWNCy4eOxYCqwbqo
sdlMOXIpd8SlvHJ3NpsyjnqSQTBGsPN3rl0XX5SGyHPXtM1znIo7VDLASRbvQcjuJUlhSzacC6sW
kusqw1PNCSLAtLpfzcCddg1+Vp7f1yapqSfd8q2lZoQuTplYkEt5RXaUvQ4gbXDnseXk/41VdNF5
LB86Ql7NSis3Xt6/IS1DICjrNygn18jkWlwjARsbJjSiYt1i4fPdeqU3IJbvrFWQkAfIt6z2A5dQ
BKnzLatiiK20umUf7me7JtiNc5KZELDa4m4uF4hIWvIlldU3e2TwHuXk+QUAVhK0FCzi7oQNcbse
WHstmjxUHQF3HOJ0x5RGOBNRxzuaaK/xLRKQl3+k5Fn55PFcTzLI0GaHl7oZM1ruqg9XK2hgLe9l
LDWx0Wrym2g/GAMiXqtC7Vmv++CmcYsTp3nrBSeLJWoUW7aGQR3Ynv5JcyJ6TKGdmliH84RVeVjg
9Cn+07919K91NLXtn095Hskg6P+b3dfmx74X0iR2MnQ2MJroQvxcSH8GYHskTNkYV6A4I8z4PuKx
fvF0gcucafGnyILB0PcRj/mLISyDVBCTkMzPmdE/mEz/YcADxEgNXFzSd9jKWjyFH8voScd00DQF
8ddQDGvAl2FrA/rNf220/lQEhFLq9/U6wyoDyJ0w6RwM3frdJEkwz6mdxKqu0AF6D2lUU7jl5LuT
9IhshS/xZwIk+SHLHQ4x/CGOsJ7IGg1fqjJxj004exdC5jCdZKMyJUmXND9zJp3PzMnhM39y+Myi
HIN6GGhJ2ZYjs4vZ9mrZNWrQViBDrpColmPWM1bQQtwvcA4KjqzZ2yjdCdi44pudWeOVtKrs2uqh
bfrEzGXztgwg4mUD517WEi/P8Vya1/og7PRyyJLrpktH9sGMhiPvbAr93W6rt6IOt0Gr30vgFsVo
7mzNKXcGLGKGWjG7tGDr5Rt7yg/BPNdrMwU5xLZtjdb0I3Kj26WyroRRffTmcEfAQq4EtckLCLZ2
7YVpf9Jk1WAytZ1jFntshiFAsS9tcfRo5oeVtEwSggjfUFdXm3yAHBFnmr0xRvfEwvmqLfDmcgZz
GsaLsesK+TAL7TkzENaUScR0q+tCQ6KAwDYStkG+QcETb1xL/QoMgCJ1mgck0NiMHLeIbluGH5te
imbjTTozalQuvIoGXJA2RYNtaQ0sY2ZYNYPyY6QJ8TfCRkPtUH5TNjKspL/EX0VXQHQ8+iSlM/pB
aVbPDYGgkCKu2k3+yuUm7pY7shNXNeu5Yg8eFJPUJt/JTbMpCLSytuYGi6qf/s1n/TO347fnwVzW
ZKGEls+xweUAM/udlI8M2LEP26i8CozwSGTs5KdhHayq0YIYK1NvUw+BuW0MB8ds4OqnUDbBUfAe
OWkNdluihmWTgsx++dJNpbdtDfzmXVdtA3f5Iu3AXiWBhgJqmZ7qDNCx0dTA/lu811QHEF8j6jUb
ONRsertRoJkKFr+23IDprLdfTHo9w9iBoxQrPGfKFoTeJi/2CRzv0mQ0WQL/Gsfw0mAMhoyBGSQM
mlWeAw/kS3w1UrHs6lApGszwIRzLPQzVUz+5OvqRaqcTSkrdUANx1pO/0WH+fIh8TrxZ07HTwDOC
ccb73SHiLcboVXnQXOlDnuw4CPA5NKx8yNPc2GVssTwKX3840c+/vm0/ulQ+1Wc/vZto0358zN+9
m9o0sJZLw/aqDs0XNjo+Hl7q01burbw/lTVhlqEDFUDWtW9nLXZzq5iJUSUBhZnmZRm7z3qMTYTB
4wfh29sK96lROjd6sHyzw/pLPsb1usbW9+/m5VdBpPre//mdfEIQ+cedi/qZ/1zIOELZfLLsMCyE
qWpV+10OyYXMUMnmdhIMuD59pN8vZGKBhGkQ1kP6topc4KP5/UKWeLJI7/EMPpGEbP+znYvpKbnj
bx84tXOBuoEdivkaLk4GbD8fY+1ComJv984VPddyCZNdr1pCFKLaWgNQHxZVaPYkcmqI1jKWjYEs
T7MOUn/TQ2JdRZ2tZycGQ3quGNE8BrgEfdasDbIhMHibkDEOQJ5ltGktxy7Bkj72uVbRc4VYiVDx
aV51aCGk48YZbGdCbyZxIUQaLGVpI77v2f4Yek8aqWXuuTfcVdsOcLMGfaDUbGDjh1q7DXr9PimM
U1M4sNBz0o1n/baYGTMJgdEJatRFVeYXRR1cinF6JH2AZkiWHJRVvuurQ5aHAROVyljFThL77ATo
HeDwUJ6ARO0DwCDDBONVemehcy+DtaKvbrG2TAVtAKzy9ZhTORTzm6H4HnE/PHcTw3cRZhd5rNtr
JPtn9ETzdnQGIlF7GFrsuzvflMu0TjsnW5PAuWxmu7FXjEI3ut1zhfU0DKM7vEGJv8hgGfh9w6mQ
B+JtIraFUX27JS18H9s4THDBXCYuuNi4aR4JDs/pc8fLtoedMcQw75bSvNMsfcs+wdhCUCWCIMf5
2wTVwULFuJqs8ioxytu6Hv1AVhcxW/EIKTrCSoxnst7MffYVjD1e3mhYI8RjmpUSjAa9dajCo8Wl
3VSuA/J8ge/YTcmKzIl0685S2zLgOOUalpY0U3m95FeLMHwCyZ34jC3inQm4f6054XmSXFQW6i1R
d8ehBzBV681TWKqWJ7Uv5lncdeG0cbAerxICPtIiuQ2hb8W2uU4lYzHHWeJNYM/ZqrJQ3DVpEPn6
5J1BskjwVOZ7mYl2LyqC3OyivLJF0e0i3BqFmT7g0AZZUiOmra+1qKpI70GAZ2Vegt8kwU+bP45Q
mVQye6+bL3rVlxBc7N0wZndTamMhrmfUQREWP5e437lNBj7oRnRRVVRaprfo+2gcnwpkyevE6J6m
YHwUVgvGDYRk2Cw7NAnXxCnhRnGR1XVf6dRAy2MGwNMHsr1OBeH0giSTrr8LEvZxJe5gWBThIWyt
EFBxfds7OKzc8Ettt7E/xeD1PXqxDXt34Vt6/zDEGLBFaqG0cKKjppVHXXqvxcK6Uw9rwzdKcUcS
1jZurPuq1XeayZYG9tVqis07Ru7u2sUMiURSuwoj6xTLCix5Gm+nOHuKLbAZhZhf83CZ9ukc7vsB
FYEWuYgyIMat4YaWVBcFTDV0xLMKfc+mxb3wiJsgBYqwFX1pLiFRbPNR8iE1MohViMJXjjZus3a+
FsJ6b3AVrMqmvqqkfOBOjI6IxTBjiuk9jb3bxGJW7ZiYq0U2zeTIzB8jN/hqGIi0DkKs3Gy0Xb9q
VWa3JMc2yPo7omn56OgmI1kBVaus4vl/2TuP5kiOc4v+olJUlq/la2/RsA1gNhXAAKgs7+2vfych
UTQSFcE9dxRFDKZNZX7m3nOX1VTY4DvkDpnpmyPbfN06eb6GNXfu7OosNItxx2gyK0wZRSdszuzW
3cya/lUP1pFV6A4x92vuhsbakdXeNUmRL0dxVGbTDZyQfmV0zr01GtY+bDPmRjFHiTDisyDbe6L7
n9r4CHnwLq6DY5bGe9lWD4EkcmFkg5YP9WkqgoujlY+lJ3F3UtaTcRA6R59zkbMRQBDjZgIEumEb
J8VzXqD4ZCzJM9tAjguGej2EDjrJfrj6TQvNtNB4pnMyG2A1v45ma/I4jpukA5GWeWax9EeDxPeJ
ud/wOdSABKDARet8so7SyV5HQlW2wu8eUip2EteLa62UxGajXQ1GQ5L8Msg/rs78yN7rTfHTN6wf
tEFfveDLUObOY1nzgQ20dSs7baHDhHm1qTL3to+TdWhSVGshU7o07W9sLbnnpa6GTl7mzLI2WGnJ
y+01YzGn7onNEIJiT993BdYoKK3j3hrsB6MMXqRLyHadRp/ZACINfS9CgGHOlWvqycxVeow7zoth
rFlT/r0B/GeVpMzUf14lPXYFkeL5539WSurn/l0p+f9QmVUu5Y2aECh2xi+VEnGmJEUBiqYgQjin
JCi/Vkro5kyP8cU/fe0U6b9WSg5G99+SpP/C6IJ26neVEkIX3dJ1GgEBkp+FolLP/LbhE72NGh2V
yWW25QETGpr8go0Lh9qcYw2mdrFoldIzrXyyQe630zuxjcr2Ijt04FCb/MEgwYmCxhSHoSnfks56
DRpgYnl7HmdxCklJn6VTLxKtwHDOMKKZ0juiJpK1k2WkrTvO0pI845xX5XIWA4XFlBo4oCWT1Kwl
2sOUxw5v1ylHXO1J5QwofB43PBa1n7w7JELwELEoKS4l2MRF6ccvg+hVDg9zVbvqOJBIXUrEEF3I
T/pwioJ4LjZBy1m6OJ/7ROzJ7Di1rbs3A8DE0/iJiP3cWL4SQz+ylikQhYRb2JxHB6vmouidC/fu
IW3TcOFL+4mk8RVkjx+DdDZNjwSxFhq8Ut+7tfz6mGYg24bkJh7iTamJgPoGLQkCRDbytfYMQpFN
4FyudDs+yXoewUxjjvWTdp/bKRE2uDk30vGzjYZteXSzW7vvThZw7JuyugOItskwlzAQv7g2ZhBz
ZCuK8juOyfdCd2wKeG6p9tJbwTNT/Y3TdfBA+8HemWn2Tp38VGocKxkGWiQJ8c3U89ZVSXenE6i9
ahInu1bWHjWK1y5aLywW7Bj7m1D3NgGuEqQzzrCcuv4B9/Cafyb3Enn8qq3ya8dfI6hmRIiRNi4A
rW7tSJW3nlgWRM1UPZ9DHOM3jHUvXRUT3e/ETCrySAQagg+rKpktOc6jVTj3GkX+kgzIk59R3na2
K0n2YtfFguRew01jQ9k62QXunbGKH70g/8mgZZUHGUyh5CPO62voI5anCYHpyIvalYEYlpgXvAXb
kXDJ0gNfr1LpuHiRiijZlFG3mn3cqnOCu6PfJQa3cd6NZNEQveXZdrmyHE543S1fiiJb+3gxThJy
6bJKqVG+Acv5KBpC1lBlacjNFvM4YZwQfnlG0/RUzcl9UHYe9UvMxCDC7gQsy1tlHQvstC6OOlcw
67EEU0TzEjnuybbs+7wviJ+I/GypiXneZnmM8juoyYKacr6ZpvGjzKsHr+eDt4dwNdkz48LgI+g1
SrXevvdL774bgt1gshwXQbB3E81b2HzpFwjmNpQtyMlZB9P3JPh8h3pYxFXdw6mb3iAJUg0wYse9
zE+3Wn1oe22lJ2gCJtwzIgVCR7O1ZRiWrafkHkS6wGxCHM78piXTW9vjXBz7xySFTzV6t4kBSoyk
IgufASZeM9KuE0N7AFnuWs7tRk69c0BWObBp55rFaBUymSPmgWXSAcv5uigBsAIEMlcGdYsxNudU
185ge8EleFO+piR/g0y3m8rWXiJLmPi4ICCQheMuphogn1END8DLi2WlCiemTf7SMB3+PqqsGjq+
gfz7L0OVXJOdBgsqTCQDqXZfdfpnowo0y8kiJD7uU0nt1qgijtnzZ1nqF5fqrolHhzaTgi9XpZ8j
WEKrYjCgKhxhngI2o1Cscl40u1uQgVSRlionC1VYhhElZq+KzZSqMyD0bFdQh1ZOVGx9jkaLCrUy
O20pqVnnVl4aUucWKPGp5qlrSbwdUN0hH6PijVXlO3NWUgkLVRIX38Vx4b4BXz6UVM2GKp8HVUjb
VNSaM4tloIrsNKZfqVXhnTTBa08lXlORS1Wah6kGnIBiHTkHXArq91IV8jUVPa4vUJMmyPhBlfth
Vr/HdcpRUS4L+gEOum1Y0VMYdAroc68JnUNdeXgTku7ZUk2FIMpgpatGY1YtR/TdfEi2/IVqSFLg
AHUTP+SOuZ1VyxIk4nVIADv5NDX2d3ej+hyzdBZ+bVx7525oDnPwMkRHS5p3OR0RyTfXmJ13RKfk
qJbJoXcyVBNVqnZKj51PoRosQafVR3ApKtV8aaoNc1VDhlu/W0QWQz+flrRM73sWyq5q4mhR1jNd
XW4DvFZtXhR2z3B44wW82kPV3vQOW1u7I7sbc42l+sRUdYxGVcOKrqNnQTMJQzQ+5aq/JL727KuO
E4JjsjFVFzoL01w0qjO1aVEHWlW0+xo0B0+izitCvyJZyjR2rII/vQhKwpC3Cwu1e2a7z3FBjCGZ
swpgV8EOEFKPlrLhc3YnckdCr11HRNohA20OAWTsi0BtetFnFsJB01r73pU3OMM8762zJnQqI6gD
WZIbw+URo20PN5ktzkZp7zmNDk7AV8djdFu3GtK12jKvNFicED1pLlaj7RjM3FhWE+5yqX+Cdf6E
YPjOlQNTk8RWosxXmeeujETnpfN3bExRrJIxRXSeMIYOJQuBGNNSwMoeBf6LHDMY/IBP1gPrx0o0
BZy6GUeVpgyLzjHkzS7fif0TVnBP3NZOg0x9E9XuxSyJP4u6TCzJUXvi7ecWF+knbMBDzyCIyeN4
VzfONvYaJH+mm2/ykTCBqdZV8DHTF1ENL3k7MuJMH2xrWjmp/ZT51e1Uxe3CmRPwzM6mjqBK8pyA
/Bw3oi0f3cL6yeF62/pDviQBGfmPU92jr91wwIktOwuubAGOUkL+dGfsk06LhS7OLmyXIZUGsiOl
N5nW9djyfRjCdCWdWaIkYo4/0teXDqHJUWG8zQ2Dq3QYENDHHM6ec0OR+1LX5Wl0U3dZZNpaAEK2
B++Vq2XTDyCvq/7Ik7tzDage1SCV/EjlB6bnQXDVJgJoUHsM0uKZxe0LYFs1gnCfG2M8FyPS1CHy
NWIK1CjMDq/ZxLBZaOl+jg61VZ/HMNyUsHhWXeTdSRsjg6M5T13Zn2eSQsjRfk8t+8CIgN2uOZ0I
Su12Uz2h/hmdcyY80iMzDkINC6YdOavKtnZJYZwGfT52tWnC3sYK7czOczxk2a2JOW8VtpA+tIG4
v14i6OxRiC1ZLOCszfKJDtqlO5/rXcPiZVXr8bs7UMN4Y3frlvAP/bovtqHfNKesqmmnzQE/MvO7
Amlpkgba1s+GmJoT1BBShRSx26PTagcncrOtI4u9T7UF/K00Y4hxpHRHf7dj/xpas1j983bsNn37
+Vn/ZzNm8FO/NGN0XFwX8M/RPQLG+UOaPexDWiCHzBwb+9OvzRiBZcIx1Zzbt//pB/h3M6Ym2gK5
iWEYKvCH7fNfaMYQAv6uGWNs7YI3JN9YRfco2sMfmrF+Gnqrtdzh0o4YAq02eS766d4t+n4N2+WC
/Tn+WUR9DsPIfGSOgZIeYcWD5w5fmiSMl6UPUwjE2SEnsY6+c5G5WAOiOnivQ/y6Y+pCGe3ye8un
ndFJatgOCDu8jFpHlu57Z0YPTj8/y6x1lkbK7MQorSVWRqw8bomrt8n4E9VQxs83c2o88LtWQ4v3
kHWdpM1CIRrjcFrC9DsjnniyHEJr8iT8iBvvbNXBnW6NFxk2u8LlOOj76c6Qur6xPJOxp9XfjgZo
HjYPzsI1EEplKUyfkNnHjEKuwserW5x/Qyl2VJXZxm9VfgQ2JPT1pbk2E1SmDGIpgjN/F5TWY+3j
a5p8ShFz3TH1W1QksaCsnPaziK1lm0sPO+h8tf0PuopVzYnVNNnB7duXTp8jIkjJJbPMCJ/phLbE
6VlI2eP02evFvhfuxjVpXnxdXkPBoEvdvinA2oXF+J598C423Av5ZmxwQ9qB+gqj8L3rpiOhK1tN
xXCayMQase+C5A6XOTWS7dx7vEMBxouFVtSbIU1vassnLFR/T8aZoE/dF1RnisnqDk+ZYb3GHqlx
pTsg0UHpWHY0HFirjwImjZaanI6zTsQE0RRDHh9nM3iCC3xTdtoxrBMyZdL0k7Pzx9hrj6XZnUY5
3re+s9Ed7aXT4p9UUfbCtrH71mXoMoQq8Ks0OFan6UHvsEBUln/mYzoNsbuidFkF1pcoSaMzeDlD
N29KV1kVrOihkADNYg87dQhILHbtRZ0XP0xC68ysATc8jW8IDPl+CZI+UG2SToTJV/Qprcv87Ndk
THIeg1Z2Dp0z7Qqn/eg1dFaGNB9t8AhhFOGhCyoWGXi9RNKPxJUChKu1KV5psvMWk4k7XQd9ELe8
SXNOc2LjQFlYWGxbp1yzFqXUyGrEkW1eHgIswDdGV1zH5jWt9ibP3GvWRotCJUvJMInQPVkMaid5
Nw21vw8SVZm6zbglnAgNaTdYpGyJmP2CRA+ilV9EOrT+aWAFkN8FMoCR3mZJNT/17F2Thc3V1kA9
YsH5AMsMr4gWUidZcbG2RPeg410hIwgTcI4M0h/6FczPeOXm/pbdRYMhgNaxHer0EJWWq7QKAvqN
+Vr0NsgNpHKLVPKVzgcKBEl9EpFwpqK/V6Hnjw9eSZtCasdllPMHSw7MKqG3ovPa6EO36pIM1t8o
gnVOdQn1MtxAQ7sZLcRjZbScde85svMNpC/E0Z7c4ELYR3hAan3C5lTcplG3KXuY7LPWHIuyQbvR
twcLX+ZNmoxPieU88O6KbeVbN01c345V96TSY2uTcOgwGN4bx7oWBQwtHYOUEVTLWPU5FbMFwkCj
K5t6lmEzplDyc26GoPexVBDekMj0pOOE5N8aLA3w5lSt/VpqDizmSlvXZvI1zdVTGbvXsorOaW29
182MHYq8cQeuhdOp/N9Kmsw8Bnb+bagt9UC862N87xn5iQ+PaNKYJKU2cZ+yvh94QkzQ84NH2emF
K2fWLExH/ryIMRYVLQ/TxKPnzrxOaZBmiCwwku09C7F9Z4iDLtwjSvdTYsOhwwvQUqo5yBT6DAdM
hLy+c0nmsjKBUTRpPzXVIxd+RbRLR5o7PedNHvgaIsVu2hm5OMxh8IYyFprH/KRN+IzwnPzU+ip+
mAhBW9bDsCsbCybBxPjcDaufQ4H8WaOapRLMn0DxATIofyJfbpchopvHMSfvJzeeXKODgFbyaaBw
39CTkEMQeBwbwx6BUQAlpqMv5HYoW+bhA5bLLOW71mTdYC9SPWRyUOtiAhiehmAWHL/ZoPFs/B9G
1rTu+bsQ+NtAabBB//OK6Oazf/tAqoHCLmqn/QeY5G9Bnvqp31VEfPu5OBlrmMrY/e/xNGmGHrNh
3NaA+FwH0cYv42n/H6DPHDolVGiuzo//Op72qbAw+VPBgEZTbNW/UhCZvxerfBdE7N6wnjM04hcq
xcBvp9NBF5WmHUTTJcpvzYkvoRFMrOxa/2lEx7LQJ4PnjwfRm9N7cIrvU5lqS5eGmfxUAo2niDvf
5UFuEozAOqueUXPeMbuc086/UlU8mUP+1ZFiipQO7qHvvqYlyjKvcVRgx7zVjexUqJMEZLG/SGbz
ZtAxYqQOLo3KSa74omcGKnhNgEMsSaPB+2LYL0nqXsNpfme6mC8DDjJAkU8UKrc1B1zkBYLaC0QZ
R1/B7PEm4DAsBsU/5ngUXgz+Iu83GQenOc0EseOq87p9x8FKBRpAPKLrlNpzx9HrMxWzDf8m5Uie
8WSschdfC+FxnNcc3ExvNpWn0rc50oUlPhgxXJpEONQn1fQwQz2NEFIhz2vwQHAF2LEJc8+xyPPh
flz7mv2azQmbviFwYcHr6cEtIn/FaciNg6sHsQGR3+oyIhVz5XM9eQOnncmF5UxlQVi4faV/hPkS
snl9gHESYjnovi+8EZTG/CSGgQiRnjm9XNlVq0vGTSiSiRcJY7YGMkytVcDZviCj++Q5/Tpppq2e
jrt56J111yhRbhhuR0a0S/c72skWT5aL5zFzGcMR85TqXKt9O2OrR4zlgKxayKB7avP8R5R+1gHd
pUUQiW01+6nrjmPtEmkS57vC0LU1OUA2KoH+7CumdDKBz5f682SRI1xyRWc20zhhV09W1tyHmXUv
mHkP5cBpPm4ZwQdoGAI0FVGwwzeIUaUyj5yWYuFrpbufNKauc+Zdtb6GEVRpm8E3tnrUowZhh+wF
w3727WShF8ywrDBf+eoS7atyG0W4D3SXPE0j2JidvQHsynil7q5zmj6ntvFVmLxnsLdedK845UHy
RPLEK0O421GyOxxbD43B/NLUBNLoLIODMXaXKWiAfGwPGTENSyOeX3rMFrmo3topWru2cWTnvhJR
+epEBFEE5sCaR88xGtfpY2fVT1RTPYZLRg26mxyTEf6eKjxa97Uir3IBT/xcY4ydJZgeM2DEpY0I
4qdl1nU/bC+8N5h7uiK/mJZ9GUvd5xmbDcQfKFMqJwfLgxfTDDdJ/pGgLOh6BjzNEGyLaFBDPwsV
gT3B0LGJa0RSRs5vwu9uXuauIfzAMd4yQpKhNCaY+xvrIFJaC3qQR6jdOLuK1GVf4j7meXj0Kv11
9uQ59cc7Exym0Jkz+ZX/EWT6Dkw7XyNMUH2X8QUMHtN4HtdBbHzaiHN5oMQjX+MX/LeSY6G4aSPn
rvHND5+hPxgBWOUBs9KsEcoHagCVDXLuRAdug4dFFmP2mN5OiX+fsHpZSMgU+6CX+jqbxLDJHf99
DNq3JK1uA1EjtkHMuGoGHdnLVPnrOraPpddYt7OJnYC0YCpNdd2XufgZqAIALv7TXBQnMoHeBRUC
NPRpl6miASjTjQQ1yExRNpsp9fINK6jPonRnJKkyYagLUTZrKx8mMYW1o8qTWBUqgQUyicqlpYKJ
qGQkFU2tSht9gM9PrTNS81BPUAVTBSHo1xe2KoymMFzFMsME4lqrv6/878tbkQf//Mo/v4GZ/s8b
X/3Qv2/8/0kyRMtHarANRNMQCmv6y41PzKTBilq3iHtgfaAmE78upIH3+IxHTHbBFgvtv3Llw5L7
jxmIR0KyYzGm4W/BH/j7Kx8NC+MbTZ8vZiavFb448rAnYqnQfK7EnG2wam/FULCxRZ81+lcEaCHN
Fn6nzHceY886m0W7hxaGRNgLmpXrZtCNI9LmnhiwC3Bz+l2o5fW+HaLQX7HC1t45dzKC3L7JR+43
Bcn+BiIpNFKjIEmZwiXpCpxUdM7DoFBKXj9dfBsP6KgoSxLRUgV3aYK/BPD2ySzsbqHjMVvqNZFB
sJpk5B1ICCavt/lZs0PGY8RuJtbvSyhPjA6uRt8whWnRFgeQoPoSHkQX5F+TgkSRYrAJFDbKUAAp
2xgvnBRvVRqPK7tXkCloU5XCTrV6AMEbGlWog6UqC4k0Dfkie1oNjtUwkvIkIVuJjlE3pKsO4tVM
ZCxhhy4CZmBYwuiPdV8+S0XJslwuodS8Qy2/bm2gxBHKyRqyVsu+sVeoLRFg5iyLL0NH4QyLy2dw
u+jN7FSG2V5k0zWB2qUV/Zde2xPZfBNxUSbgs5mM3YWmJS0ZlsmuajSI29LBxVdgdjf0bmmX0rsY
EzFN80T10LcDVOeCKYeKuC9iupQMQebaw1i4zEcMQ+iPf8qJHEFTTFsyOXTilcUy94w9Ouhd19WX
ICW10UQZepZVXZU4V50u25LEq5rvNNsT47dsGhv3GJeLWeCCk5Rhlh68J+wmibPUFlY3ruJ8fAud
Avlkh4MSjzFKKYjokq25NLU3nfwxIDfYOUlGWorG/yQf2ztTK/drT2+6jdFJ55QOJv1RrhAYRKkZ
bVYcBaGgmP78eIXweSfRZbLLYW+Y9u7KyzKxzbWo3aR8/28YlW9dzdoTdXjVbXund8Z16OFPhLLR
V21jiBuzNOJTmRcUcshT1tIGSgtDU1vkI5MvePcBCxKh35SjadzBoHd3UdJvfVAB0xAeMhZ9LNKN
N8/kNk1QnF5wC7Avh4E4eSS3tfgexBSltLr5+9QUG6OPXopQo4aGuh1KPs84nXB/WADXx2z7m0Pt
vwjK/5toBZ4qVGTEMwQs/EFPXpqMR1PNF5c0Y3jwYduoVPd/+VfAhmHsS2ckdEOnxflt5zGRENNA
DrIumHy75HYqH3P/b8fXPxtM/X+SE/6PNdh/U02pn/rlklKuLhYuCMhROnHz/F41hYKcWEVm8eRq
qKvt10vKRzVl6vavuJ9fLil1f9GwIoABR2bR6fyVSwrh1h8vKebzSBRNJOb8PQX03t99O8Iam3ls
eulFE9VrGJEDNCMiFpO9TwWO5Jj7oak7SmaK6x7xJEBVf8L24TEmDoas2mcKX4XEe1kr1TLUhQ06
nodB6Zk9lI3LPpxOehusHI0nOBLtlZj4cpkihZZKE91r9S5Nmjdy08IF4UUfARDVJTmmDJrt8Tgi
rYbTVS09EohW+EvXzgRoQCglNlPbdFVn9ggoB6orEBbssZPugEZFxZ0j5zbAba0MBN6dUnpDX3kB
h4USCBF4oTsHoVTh5G1wsvQoxTMk47aEPZIjIiei4LlXqvJY6cul1AbmQ2jOY6U+n5UOPVOKdDeA
ENluJqVUr2AFLAzE67MMzy2QzBJRu+Q1MWhF75kZxv0QJSQn4N1KkMIHwngMprTdMOTKKELZHLRK
OV8qGQujjF1mThFu1PIZS5zGtTABgF3aQJHCh9aIyx96NVyn2RqOrddcShNBZoroTIlcfmAN2Ed5
ss3KgX6LLhXREoqdzsQSJAPvLEPjalYNMXbRcKFLdtZJAovFsElnnAlqR+zsw84vuntTkx/IRYrt
wC0ruiQ5Fs5bO76V8Ius0nlrJrPYdjUQHjpY9OXwEa6+kPlDqgNy/ozC+WMYca+ZYA7criyQr31v
22sR3wR8v/Gm5voOMjwRo3XgX6wsaA6THywtv1NKEwfahNIafK/1gSbdmPHMOjJSa/+U/f+QDytX
iQJM1AHVrBzQ34qB+ls98Hct/l2LqzCeP6/F/y97+yj+y0JS/dQv55xaSKL+xPnC/A1EIhfZb8Zv
HH4qqYjj7zuk6NdjztWptvHWqPvvGyvz6zFnEIqrctp0H6CL7/6VY45z9o/HHBRIX3ddPLeK4Gj9
4Z4tSrRv9hQ0Fz01HykCH4wGvrbV3CUjwiiWlfIQ6rA9hLWLJ9YsWZIEm6BHENiOXYDSBaqiOzGH
KibtXrfYorNlZDZntQ4CdnHX6kRzWD5/Vo71n8FPKfZ+WBuLUqYPtQuxZM4LDzHLeNYq8nxQJLCp
J4l1qY20vW5LWmCqPPYkZVQ3ep49UuvaZ7ef81NsGGT/OAwIw4BHzEjdrdX40Jd7qkhHYiqf6/xR
5kpwpDHz0+tmX5VgCrw2XDMiw61jZZ9zJa+1jlAzNexdYWoP2szwJqiIRZ3nHjcgMhWfoMwKW8uy
LoY1jUUsTiI0P3r5VpvUq+GOdPdwNfSdsSBeTilskpS+Y0xIdW3InZzit2HmmIfN8dG1wwFByMBW
kRdU98G+qck4waW6QM2mzaeuFYfR8n7YsbMv9NiCV2zrK4zDpzqsb6NsZGHZs+dCuXPBXJqy3+zW
wtP5SEy3WbRh2Ozd2qI6DrJ7IxysO1+TP0cjv2tyr0PFYaZ47GkbjKowFrCNxcZ0uMrKgGSjNFEb
voRVSK17JyOSDMwiawFxnillfj8mCHb0uRPrygSpC/kD24hPci+1ebUOq7Z/CFudpBHhP4ca4s8i
KreVHjOedR8tf34TWphvs4mpDcde3Et/VRhEAZcmDOqS0nTQe2PptBVCZV7LXFdb34TKkgQi129L
q80fvKDiF8NgKJPiMls14SD0ikav3fIFf/MLpmqAJXISfcQLc8lzLeGfaZ4Vr6LB/ByH7rNntblp
2pFdUeMFiLnsdwJP9QUweQjHysMRDd2DbYRw7z390Mfxazn7x7kSsJIKuS0G7VRNE1hh3VOwC+T9
pPtiLmqamzaeeXz6RxkG75Ukyyo3wU7GWvaAtwjlqtE9V6YLfaUNd54NFpfgYa5Bh66XRB8ntJ9q
qctD3+YOaJH5gT9zOFU9ifSjXxTrFhPlMo8I4u3rPNkIX314o4nm0QmclQisZyKGa1JxEQA3TZ4f
GqMbGYmjhZRTxBivodueoa69hHqgtFiyvo0ZFgCUIZ8on+DQd9kVT20MTgU2Ux8rbmHB4sks83WQ
EjXQRAkOnKlltxUB8yhiR7JW7/b6jGuh8uQeumC6BfKi5udQCDkWQcRkzW0Tt/D+KuzWLYx3zQGL
NzNeikGsM9NHOmtb7VLTjRG+uHTxbmOktUCWuPyDZtm3cegvYFs/oWA+2nV3KEwswFb90LsMD+cm
20IlJRCbcET0COKmH7uniEZdxUzfZlZ3l4TD1UvY/2cMRWm1Fwnr50VWxFenNw7WqO+mpnlsyc9e
VF2uMzMFvuin4ymBX+fqdbHJJq/BSjueg5qOOZ/S9TiItWuUB6MDTjo13ZdlBz+iUFysIib9pLyt
YuasXt+8B4ENfjSZX1JJdYHnw1vncfajyTANBhPojNYoHwtpHUeNoXrPWBKxmz8lV7C29i6ynBxd
EmDftSzGg29Hxd/jtH+1KlTuf36FL8i6+PzPcZpqBv99gwtucMfxQaVBqGAr9psb3OD/4uLE/Oz+
a7f2ryscxhuXN8sa/5/XtKJW/HKF+/9AZoQygRbHdJnBWX/pCv/2b/zOCcvtDXwO7ijFBN32H67w
vhwbOw+leWlGS+fh7vfDZDFJA/aGOrDaIBhHvdNOz64xm6smtH7WJlYIvlsrW0djE4+BtW1rUDGs
hhe5np+1WK8X3lx2q7Hpb0YkhitMDgRgFN375OevkqSxKUvvEyve5lN7MEzjviq54+NqQsVYAleo
hXHKswQai+Y+sZsrlqmfQfgZAmbT8TOCTmLtCqhOzphd7NC8kKa29qvi4CLESHBg7OcevygBph5B
YuOWoTZghfLLKiXa9tA+5Gjxyql+96Jp4TczEo6MaA2DIZ8JtHkBAhnTXhngoKTXckt5HUT3IxkJ
vZOJ3CH6IBm8QSuVSROZO+ftkkXkTZJVhzSxAHXV9VfVS2Z/WsGJmXqXCA8HQvbqEtt9eRizFtF+
xK3vZgyKElmHS18Pg5vGKfQVVw4xdJU1f3lGn9z0lvtzjnhzyyCTdyw49YVs6k8J5P0cF+ne9nF/
BUY5bWXeeJeGccradQc+tU5i0AvbcJlkTKC41iTZc8LZRj1doVP3xBGMbninh0gr5jIOF1UIeCzL
FdhqAAQZZSZ4nCmNd6Y5pmstioxtLNOZIBdrYTqjzVegKNgOBGKFcIBmxWoiBmJlsLHI8F7XZFhv
W9RW69yMTyKvjnMbgyAT+3YK51WUeV/BjMoxdjMLImzE8LPDJCICd9omilmrxwiwKktMa7eu/G0b
O7SKEKG3vgHbPwtrPDGRiO5paLxtV9pyDRUk3oG1DFb4HpE/m6Z2B+VZhZTzStlgMm5ilbzxQhZl
8TSg+inCcq1lnSDsJIkONlfmFrLg42Q0tzgA87UkiA8QX/lepASbRdJBo4EQ5VD6HMWwYqPFNKu3
KDLyH0Njx0+5jLj3FANwUjRAY8QTkypCoO1RVUpFDYx43xdmTcaEN9B2ycGiCAY3+wGehL2dYg/2
Yabt9BZ4r52u2Utxy2bsoDPFLMQTTkSkhbNDiwdvVSu2oaMohzO8wXjs7p0hS9bNNwoxNdKbpMjb
HTz0rzaf31vRy01bIspL/bQ+RwLmijk68G8rBxvPEJwcze23WGSsewMcY+QXLR6Ob0ij/AY2RqAb
cbZD3tWSRSDRjjVY57daND0S201uARbFpQ4EMlc0yEFxIX0AkbSyRES4VPnYotaRokhqlr6LTPOp
53pfNiGBvVV8cOP8diAlUNNcwL8/Atc4doXTv1AWfw5OexotjTElnS6L5W44dY1Lwoff4gWqGSqE
iX4y+G0SfFXfW18V7o+lmNOzPuhi0fvudSbOgvT02VOJNh+N2zBzybJ9EU93rBxOnQ0dqpC9qbLy
im0SKbNUL+0V5pxx0UdUQzX/ed4wcHEb096QPqh03dml08KHdAx+6EX3WlocD55eQmFN6mM0iLcx
cRwaB9I6+waXv8AnJ0DQwXwlkjJu6CdmFN9p058bb3gGW6+vmOHeItZDO5y5+R5LEf9lq5OBmKQ4
R9vi2MX6LvX6fIl5C0d8UV2Yr04LglQBhYz+CqH5ZwOyC/EYMY3ScF6ToMuwxeTjOTfan4Xl7vPO
fkmDzN5HGerMen4fRV9jih13vOh0I5m2I7qbyYJ0SZbnlPELjToG9ZSPZbgvBJGvDlNhwMhGFLPK
Hu5IrD3BrKeSj9L31vN3bm7eiLDcahCew0Gu+EwRmwr+t/0mPbDxTdR9NZFLgNnQgnWb9m1mSdaK
ZFxbyV1ATCN3AaA4czrKNr3LfI09s3xMk3AtHWCbHQrVLovItYD4D/UFy1PjIlvCjuChPydHVUeq
2fw/e2ey20a2bulXuah5GNE3QN0akMFelER1ljQJSLIcfR+xo3n6+raddspK26cM3EENEgdnYDhp
khIZ8e9/rfUtT6calvRAT1kJ9zFl2tDh1LqciyD7hXZxpQIRWH0ZCf51F+nMCr+ejc6fqp95i3jM
99GI+QfClAVJiHApFcg/jEZsx4DOqhq7indLXBfxzwAQAr2L/QaP+jYauUxNUL4cw/irouKPRiPp
9v4REgJiyNBNjTEM7gjy5Y9L3KZuc9MS+nxRSV+zpnfcTT0cIpU13WpJvQki98XErQk2r38mQ/cY
y22rOpqH1goyqAXKrSdAP1rT0ZrJ1VhdvsYB1OFwjS/sOFtPgXuJv03jQN3rq3pQN+noHQcDok1e
btzQ2/aJfpGoXK5coiHLJmTj0dnDtW2V/Rol8FWxiwMrGnCLwgyPjmTzKRVltW4NOVvH+1Mr6iY3
4p0qUXqV7t45lXHZ6tmF5WFV7ZtCeGeGyO5Se9oEY8o61/JOWRJeh0O6LCyZE7Pgt4YZc8nUma9D
GSasNvrqqeh4nskSG6JH4dJgh6rY2jZXyOCEo9b4QUYbRefFKqYs8mM91QgrHULvomdz7gMnI3Rq
kQTKnsM+9ruJl16JdtPXXMTBvSabEXj42lGjdTlA6JYEAqxB+KE5MJqZttOn8gCeON5rirUPoJpz
rMeWGKTO2ZCWhPYH+7rWYhs9quFkSCwSpasxL9zM3hVDz4F9pl3Kai0Kshzv3EaMM4qCu1AXPLah
e5MoLpdExdiaU/BKSBoTpDkuXc/GpYhRd6FzDUU0NbdlFNA8l+bqzeSSnWchsMuLYvTNsMLtk23Z
xjjLyJJ1WHNbL0toaDt7EOoC0whh5ARybgFYZo5IhNUBTAUrTF9IWHJRrzWxJBGlX3m15nLETdHp
3HijIMf6SqepxG/wK3NG1fMj9cKsAHrFIpzFNmegXHtHrRlQUNzlgsU32VYnYRwjMrxt2rAkFzC4
yl6jlo1lS7UCAe/tZ9nZplHeBufrplW5kKrUuplK1S3x/K/aqLdWAlAm95zyUFAGhx/+c4nrk+Le
4aCO4r6SvXFk3+562SQXw+bBHFfdi5aWOYe6uZ7auTynf65xk9MsG+nKMtx0g3UExsFXQrnrBrrr
TErsEr3iVYfmBbfoTU8nihWDZWm/NN+l7QZizllmcwpXve5xpiRPqOmtNwJEzQn8hjo9emKiUS/R
6hjjCy17cVQQKE/Z0yvcfujho7LmWFDM11k0jwxU9cVBfFsqExUwShgtEur8jLi6E9T7KRKj2sjG
P0H1n6IpD2QxYFZ2LjtygpkUN6Qnepcfu0ocWs355MztYaJQcKZYELc/FtcS15LsHCyafJOptBBW
ZM0MvNaN7CdU9OhKsI1bpFQX6s5NqqzMyT1UdBp6stwwkDWHBX2HsWBH2qXZiSY5BXBJg2MZi7As
SSQLeBmBc13a9CcaQ+Dn9Ckqir2dW+Z5VO8avwGliw3ti1nkHTln7hyRcjyB4WzyW9epaxSyuDHN
50fPpsqxy4lHudvaot8xk02P8MnO+mHe0YfwrFsVXZCahgBNO2QVJ9ddZj17QGmJ7wLXL2qMjgrH
I022SzZlNEKB7lZ5zbVw4c3ZuGkLfcq/Uur+veNKM8yv77iH1+Zn3h4e8+2OS02TDdQRjo1DnFzu
Dv6WE1g5SOGTOyeMrS+31W96gvVBauhUKqlgIhEU3iwjzA+AJtgOU5Jia5YO5+sP7LxfqFs/7CI8
m++PR7iJhS8Acik3vIELEvkJubLN3bnDUM6CLW5Yx0d65ju16W0c4T6BXR/WbOFp0JzmxFT2eev2
BHicWE8eYl3rg4soKPt6Z8ZtxTe/TwZ1VSlW77D+bZrhshiq8wpuz43SDLqHIWN21kk7tyc3i5JH
I7NgGBdTuKnUQNdWIf3QAQ7HMovJqMwcm+q2Df0a/GC/MwMlT4yV1jlZ+5BHdsJKeMxmfZx9A853
3K51Gl20PQ0tc3kdAv9UNnGNDXDVlWHDZjpU/dgpsKaKzvbRBhJCP1NNJBX/r0gxZQxjjcWYLf3d
TNUD0CdvsueV0faUJk66h6kw6w27PlZOoMyrwqyUltJNolX9hJfUr0DgXcNH4ItbOFWysosJuEwV
pd11amTEWLDxZhcjiDN9Uzv8eQpZ7c6D6XFbqsMU6MAYlc6uJkmt/jsU/7Uw/O1XdPmUPYnX5qn9
ydLwzfdUyn58D5DoTANfu4ki+F32Uz94noWy9wWDZ0lnwbfvqUvTGg9SbVwPslDizWT8FceH7ocf
B9Mco+4ffE8BzbyfjF2Gb2m5h2arY4Ph9b39ohahy3ZFuAS+GV+3Fcs07qiy1WA49I6YlkOvt2c0
AJUbQ6W53iMaWyR0RRhF/tzI1GyrtFs269bKM4jIhoNtEO9jJGRjRRSGsDVGNzK4Dv5eXxnG/LIO
vY+RTOoKmdkdCe+6gXHWEOZ1S4zlFvHeeqo+BvBHMKq7x1kmgMnRiW2fdftQ0s1SYsIzQXeAB87R
1k26LCoaNkkVe4OT+kUTozc2TzpsyaVLEFnkVrUYYkDlhUwpp2I+2sSWR5lf1gzj3iPQbI/i4BFw
HhxqOK382LlDRWomui0aDMaKlm+LYJBxniuQb2stVB50wtMh8XekTQcPSHVGAO6eg9A5nGt8fNa4
ESOyAx8KaiAQDAqZzlYc4vYyr62NWUavE0b8ibLJlesWtDdjUcbInV80w4hJMTSYSElBolWdD5Kl
G86DtrHSbp3YNRKcAB+QQixV9Jm0s/2iEy9Pe/h8Mm9OUdHlSAB9ivJdrAM3DJz20u6d26gOwlVl
Tvd2jB0jHoCbsNqGuV0A8jZiimoK3WEPPJ+asXDWWpTtR3Lx0ZwDUej0WztqtGWT6cHSLmG9CUc/
z8jVj254XZ+bEYMryuDgHuwpSQCVqevYYWA3Gdzibk5WHbH+TdO795HNCrCvC/g/dC7hpQGLkZcv
eBhB8Eh6gl5reOCohVXZMnfTNqYeSXJVn5vGeMWizglGBUsBTyC0w90oAQMTpNNVQqfSnWGRU4LJ
xi4GIkEJmSC37F0GqcDqo3XjhohmWdysJokz0EPOTO4X70Vh9d1qEMoprgZs3OnQ4CKPE2atejPX
2N0dNElTgalRo1J6tlS+dMDIheu4PjDMrS6FzbIZn1LPvInV0hdtvlI7dYmrhZUKemhpCGMZSYmU
fWhNmB8aYOr0UEcCrJmaFFW7jCW6YWVXniBZRkeBJPjTxWufBaLVwAQhzmZhwvfCyfqVi5i+NqSI
S22auiYLihc1nvvDhNYL+/bFkOJvhwrsSjl4tI1mV7W8l4hee2gvaHkm6iPx2Iuy5JuSSGnZiKpL
HOdnUa6qfiXlZxsdOqPSqUOXbssTLIyKGIJ76bp5sBvt8nzkoEj6Yth7evnJbGXpAoJ3bubVykmp
zFBGhdY+qYsPlnQD1FboR7OyQbZM5kddCunNWZLsWsT1mLQlHVx8DEQePE1Sgden+hhITb5AnB8r
c0v1gMICN7pTwvQ17fnK6AWNaRXSfuthvJJav2cAjBFZdlMXwWdPGgLCkc+dIT0CJch4cyTXp1QI
kCKsizNFH62jhruAuGR9PopJ4TOP9QDkWuCP0o7QB8zkYYNFIRrEUTQpAQ5pX8i8+Dpq+DRbZqjt
moyOAniSyWIMkCLSaT5B8ARbKIHCbS7mZYVPwqibnrU3X6xoBnmsSDtFIY0VHHawvtaducVAj1YR
UUPJv9Ub9Sk3jUOGP4PYw00g5T/cpvtACoLGPI8xRxOOIBdQ+pr71LPaYWW39LYs2z6BrCUSNrZ4
dnWU7aDw6ySmk8WDgviv3/HrTCBja78e269pX92XT3X/M2e+fOi36Z2pgFpTjYFAd01Nmnf+ngpk
x6HNxMxWDE/QO2e+KsU9/EAqXcxSAPy2L3M+mHhjv/5jmB//LIv3z+ndZWZBQATty9CCw+jHoQCJ
kSuAOTUXEx9JUj06BkNOgIWbcHWnLCI27SOppOjctpoNAADrVJNiWcyhemUE5lXa9K+liiFoHKNd
IsQhcrS1IHIOA2qpiHmfFdqZW1DtrZPzE+ZImM84UzERL4w+P9dNeGOhc9ZGyho30Ym6j1tnKj5a
Y0e5Xf3qmswnLFGyqdilwIAihZoMOzJ2iDJ3DTVvSBEnFIbzfop94ann3PM7qmPGM9udNxZ3L+IA
txbViQrvaJU1w7MXd8eADqKuMR6NkDLXTnYH2SzmvIMw6/Mgis49AC4UUWC8rs57nctzWR+bUf/o
mNY20rRzDwuMghUlwbdX0kEBa8Sv29mPVPHgxe1lFPXHcJiWonQ3aEQrI7OpuKK83PvcNp4usUr9
Mur7/ey5T9QMoW6B9E/ETmk9X1gttMh5o5ADzysKdqrmemonVgljfBFaDtAGXNqJfWu1+Xae2qvc
7Z5pujpX3OI8CuozYUu8Wb/Pm2nb19zGwuozDYbQY8HqBh4mTfPKifAeuUq1xZtZAI0djmnvAK6b
6kMdpE9GaV55lb2MYg5SGbGCXunOQj33Z7yUzVxQj65cJd6409Tgzszpm5RdLQDRF3UE0DYdTZyV
ar108voYu9lAnhvETjb1gV/G9pMjvGZT1ePGrWgFD8fqo67TGpsP4zNkJexcTUOZ76qdvIFIdOs2
yTbxiohuPnnBw3HGxS/5Yo/AEsOiBQagL8Z2ZymluilrykvgrV+lyH/7AsV02dbk+jUORMfRmoUv
JrxdGb2dC5p9SSYYc3Kla/om1dWWfS8d1QVBSDa0+DVoJlkWOuqXVvTOggLIetW5agLidjC3gSgs
v7Wn69ikpYD41EjxN16iuadLBy6vvhjC9pZNpkrJIHf9JMOV704ApZPPg4UBBBH4RtGDlxK/GknX
i1m31maTUl2QDn46iKWZBa9soY5u0n1UKCVIjk3fETmYzH5ZU4KIoIsol5cn6hzvhp4qJtaxDIAc
/OEgmqmfVOYzZaC0AIF7XlQt3MTW9KAiyVTCmHzylB55zCT3LQT7H7T317DyHotJv2V78Mrrx6ZS
qrSGTQZDbEUsJ8qNyreKhJ16ChJBAO6ossY33Jhuw3zPUunOHKfPvaPuE8/dA6UFuKuAMgqjOxBy
FNJk9TlssHqdC8ZkvVfsY5kF10WF0Bp6abvSpY7Xm+QzoPTfD8nMT7nOPymlBE2M1J05UVisk3Tc
BUq2SVSPyOwsHuaSLWLWjRex6jwTtXgeTTSxZqRda8Y7a9jC4pEZq9YGLazW126FLF4b+iYo9fuu
RsTlMsWymhVy2LeL3o7vp5DorKeYL3FQ577NIdvru2elb/xWt6flGKgg6oOPRsgycWKRPOs9a1Ds
wfDbdGAvDT6lprqJBkgXKnZKiLz83scguDcytoZBFTh8vow1ugOhZ7Cbq5nODbarfC2bwW15ecbn
HIfURgSYoXqrIW4H4FjazeN4tnltYl/heR5zfNUTjm03N3YD5RZRJ+4KVd13gzuzA/RoPQWasehV
3E2Rej2E3cEqohsQf3B0qcop6OlcuFgAfHtUzmI2t4tiSvGmmST88srxqScCPhxFabFuBmTfpVJK
CCDpXhDQItqZXbyOMmHiJ3GVjTrDAZgK4FkFNo0150oMgdOpylvsXZyITnEp4uW/oh1jgKWq7Px+
PYuQR+rbn8h28lHfxxCNfSAIGcPU0cfI/r8ZQ3T2gYhCDnx986ui92054X2Qy0U2iGwfoQZIftK3
McT9IJMSxjdBj/3iHywnKBl4v5xwHFX7MiDxElzs0T/OIfRzhKliByRz5sqB5GNTO/ssIqMLLnR7
aeQ5DiVF31IPi7jcR9eTGYKIZBfGERZZSAsgbg1Zna56rzPRekj0qgPdyu5oYCkS5ROrR5JxVvw0
U1Pm50bU+k1rQ3ENaw4fyWVSe3fsRAg35y2farel0GUCVxh7WKGIXQSMFSkpcCUXq6ihdy6yu0Nf
0ECpOfFHodmn2Cg2dsbinV62QsysDUmQCDVXcXWWpxkrYmmX1AfIHqGsBMVE59fSq8lkxc385CXN
ybaB0PTYL/Ag6pe62mXH3pzLtZtaBeixrPTpy/hsBOETyUW0HcVZddMrCwQLwQ9Kn2KEfpYXx1E3
P1ZFiFuVzcbWbAva6wx2HGkFuMkoWfrMLkWBmhgPxozWoDfza+8G674UB80bNhoaXluVm9ZoV01T
+lhSkLSIMBCBM1479Hi64YEVqQvsZWcFev2MUknyJSDaL+c8NH1XivtZVm1z1P6xTG4y1H9o6qeq
UQ8RroAgpyGgsfKT4FfaS+OAOsZNselg3qxdu9prVv5MvB7nshOcYUw5K0RcyDtiYe9dQ29O2ohp
6RGIHdDy1ijD4qTM3VRtco1bXaim6j3rZg82q0hfGLJxuDR0JOj9i9dGa9TtkLYC/jruh1eO5+0S
LhR9ooLy4Sk6N4vAXbHFmtZ1F30eFES1xJ0emOJvunk8aUJ7NJpqr5bzAyAmb2lbLfjy0PwU6+N+
UMPpUdYOL2hMdJYmxCZXNALGEzZYqzkFHuC9xlXOiOTfTDFvi0srnvbQvQhGiJzAHrGVWn4fdbhA
Uttbdfakbmfns5aU5kpGh0SXRcyH1Ahnrn6eMoBRogR8L5g3BCepVMwpgFPK6CWEZ0Pz2TSv3QGj
fcKeXFfaB1qaoI4GNmFKJFF34m6O0IfbWHLd7ZRiWDNAnFUuEffumWD2dmVomEWSWwaXcEXy0cFt
jtfXc8kcEVxyUgcXd7kvOIkyI1RgklxrEdnp5zbqLqrcfBItLqUMn3E6Jee4rw+VAVeV1dKhGIjp
EyEVywSTbhORsQcXMWzqMZfFrBykdS97KlL3gTbBVZ5JJHv4YKRGBe0ClA7Q/lGa+W8dJboeiQ6o
3nBfR2a8qyJvN4/1gW7m6hCU7b0N3wLSybVi27vIcC8Urz1Fqv1amfN5njdgBvlszjaIjoqRz4cP
eSVAA6ZqSUNzvGmSyFsh+BcLvj32YyvaXaQn/VXgimgRFxmAj+FgdxTZ/ntr+3Jrs37rR3non39y
Y5OPeXNjU9HEbOQsl+joO9YNopjK4Zpl+NfV+t83NippTMh8X3Wzt+oYNzYNdJTHX2nAA/+sjtmQ
ecf3fhQcv2ToybQydb9PtWYd352xHNWLLinvqTG1oNkZygGPHhsrV6tOFlmGbV8wlI9p0K5Lqu2X
HSCLRhrZh2KkhwoKy1lD/+3CdLkFtYO9EaQVMnesjs2sLCsBuKZzXzTBIlTPByZdDloz1CYPehNM
VrZ6MVp8C8im8Kha4exyO8B8MpHWb6gG4wxWVS82m9yyr24bzayWJv4TVPz6JZMQqVLipGq4UqME
TIUM2sVJhUUBb8+8VAz7ENgD16gvwIpBCcCWAbHIoFlMUC2gw7wEuTus9Ymu81CiL9zCA/1SKlds
y7NLTwIyconKyIzGwhrvOH7AkRg5nwB+EUxQ4LHbNdA2WqgbZCXPXYnhQBS7j3Xjpiu9ylcgdVQp
VcQEFW8bASm6bne9TR1YDlk1gPKhStxHElGRAf+jUJMjPCBwqOEhmb0bjaMd/Ap8CY2u3lQO4NmZ
X0IX4aHIJGAEX87T1IMcQeW8x8JIyVclz7sWvQ6mekk7qAbzIz7F5DMWSj7QZz9NarNkBCYmz43C
Ls7dOT4IrKs7I2mvettDqrNU8kZN3i4dm7QitccLpmzfmdMRF5DCPaGgNbxZeF3WpqgmTY4FE7+w
J53DGTn4BWTeHSZd7xhiL9ZrHCqeNM0qwLvI41twunAj15P+OQOjQuHlF69yIuFC0r9cFA1m0JTt
LCSAdF1kIPJCNhuRdD6rWKAH6YXGKU+X11R+proXe65W7vtGP6/KqqAgYMZLHVOOpkl/tWYpm0Q6
rgXWaxsLNvbcftn0WID0iPYBGfxpQ364GT0ECxcTt4OZG57KMwnSTc/4ujcL5aRJ23c0rXps4H09
uqxKCcGo7Gx2Nmbxys73Y2etTEzkk5ZemAaJFy/DGaRiNFcxnFs5WhWsynIZYUZvutDiZetnQYVP
XXFJytS1XLKq6lWOmV0d4k2dJlcxJne7zx4GtXm2pPtdS1kETBji3Sbt/cYeZAdccbRI4LL8Vfa4
lc2NLR31vfTWF6yy1Fp7IUyD6x77fWXo/UJo1bpqZcFAN9f+hFk/DWZ1KQoVqWd4jvhZr2QFzLKw
ieuUenVvFNXRg85gu+U6iQwaE9gRdOqwxlCdU7M41EsQTeUyTQAbTWnNyROmZjFZn6QjZ6jJ0+Ru
clYHjY7FPU+XbOPwgLePblIfchBwWjrfaUp74vVR9MoBzxs8NlwFJ3y998NZDBTcpEe3Rh3oZ/UK
0M3j1HnVRWjKeWxUxj2qt7IjeNow68ZnIq2vzV55jar0yrULa8n9Pie5awTtLnD4V+Ymsrawm1ZN
wAoiMUAF5zltMSrgYtcw7WWttTN0TAf6UsmHeHIxy8Jmpme9pRpiKDOcsBk1vyFeaV3Fv2KpLy7A
z3+PkH+ts397n5Xr7HXzVLzE7ctPWuKMtzdcHYKc5rgmYFsqUOSt87vMbXzA+YnxzpZK9pcM67cb
rsNxkSU3Edfvj/p2ksTeAoOG8+Vf8vgfydwccd/dbl0SMbbF/yTYBs38v96K3Famqm4SNPPF3H2s
aXbskXvenK0vvzpb3vYeyn/hb78LB2X+VUJ+Dn5WTsCqKV/BG78LljW7GpmFyd4QUVVh0qPEWJ+E
2P7+eX58J/98nndGVvbKFa5KS7uwoJ5pDWr1p98/Adi+378TpIm37yTUUGR7husLfXTYAd463mdc
dGyULrxerLBcL1vxUPXbPr7syPRr8WsSrcPwUi9PXYHXFAZYTXUKhwHZBGCe+uR6yCN/pF7j969U
ogd/+zNnD/H2ldIgEQBBlT8Lg/s7o0P1sWd7VGrmxcAKktoZ4MmfHSI1bK+x3f61WPplS69cdPzj
BcBwtmyVXz+L8ncySeGGWidUZ7pAmGY+07wmO0sxPHfLqTLraunh9+13ievum5Edcj9caTA+Gd9K
bJyqMnPQRVbRq14Vsip9P3hd32yy/F7Pjf0QqIRSdCXRbkeSrxsj9RIKTNxuUQA8amwkXJbHuqjX
Wjf50Ns20Xwh7HiVswMpa4VFJS1RlBnk+iXRHPoFCTsi8rY3WGKPRpdR+GX7giCRTmwWBAtIvWwx
JZWfWjesqWvfJjw016wWJw16UE8llewe2E71fZvkAAwJPAzFQevMU5IcE8gvotDL25yW0cqYjVXJ
mdi0fRMQaiJwU1txaPpmXLu+6hISKtPsoVNIweTMCp4FvikN/5Ihf/kbMv45Z//wxX9PmAJHTxpl
bOcLdWNsg9181n00Nu6uuWgX2lm3rZfNita25bQ2lvtmn69Lf3xQduhAG3WDxLVOvuJJf/mC5Jfn
d5cJjEJvP7JmhmySy49sme5Ii0FmaDAcr2v1P1yOfvbJfHs5enfBwxozZ1HE89A1kt2Mn+qQpoMl
awE7+Hpr/OU70n78EX+9Ir39ErwzEHm8/8bwYv0iMpbJZTriFsXdvhjaFfuP8GL4T2/tZ1dATnRk
MOkMduGF/vgjzO18xPRg6FRUY6mZn8l7//668rML4NsnePezo4bAKUSo6xet8HuIjANFG+N/bD3+
yQfh7ZO8u8p6o2fPmFP0C0+QJ9939o1uP/7+ffzslvT2Kd5dHifu1Q3wF/2C+CkW6WGh2ldeci71
qC9P9D/t0T3GL03Zlp+7/y3/5ZeSUCbiTvd/fvxj+/XP4WvpP3VPP/xh9QVue+pfm+nqtcXs9W23
LP/L/9e//AuRezNVr//9v54+5XHBerRr4peO28t7fK4cFH69Yfdfs/86L5ufxoZ54PddhPHBQuIn
H+MSKWB58GY0MkkA0yfA6v0vVNE3B6BJoIaBwkJ9d77V7v41GpnaB4NJAyaRbRsWkRr9T5bsP37a
EfjBGpFPlqsSzzBNSSx5e0Xqgj5ps7nQLwtSYmoanzlhujTEtHrzk7n853ykf9nV/3Dpww4sRz3m
OYPE83ujocLqFX0+HS5RENMdtzvXXH0RpOMc0DoNVNR0OETBuvLCm/qzOq1uHZ2FQQWgYTnkeJ3S
RksPOPY936AUbmlMxF4UizQOPZD39NFVy9yN2DXLU1PUZtcc/N2lXmWXgK45hDpFTJhGr31XEShx
BFVZAriHOueUSM55ibw7A/BGEjQQswJbrOEWdn4P6IhqtJFNqPmRaq+jZ/YeDS3GfQRKFi6hdc3V
6krJ0doVCwIoZ3eOjsnCdr1d4wkY5Tk96p52y7YxIzAkaM2Uu8xedCdLmdeD2X/0XI7pofMY5tND
I412CO8syqf40qI503byeA3wagsSuNm0EbhAo2luSzvcxi6REC71B7Zhz8UQpWuR009jC8BIWTmy
AaF+e5FhdWJMmB+1PBfL2UQud5u1O2UW1ifDr+30sXe0W6Ik1Ljk/YLiqSun7jcWFUd46xRy0W3O
C2X7g2pMclq3rhUAzARJ6Kx0vEevw+NmcO2vEVvb3mTcIvPoohTx+0s2uNs+u3Slcgmyjoro2dQW
xLJr9A6N/nYd48M4IbAMkRavUy27rLFwrw1j2NCMeQzDIFx0mrnxBD/baCC3pdiW8KsaSZrkM4fs
q7KYJ9+Y27vYRpsPW7YojDjX7dDvNCsVfmOoLxhMkJKH6S6LY2szGjMjLnSNNkLibObmk5bpn/Qh
Q8eglRfa3w78DuVAFOiQXz/lBEc4X9tnjoHVwc6Klzmp6OJso2VulzfICdDaayfdDr2xcShp0I1g
TTzVa1Z8xFB3TUJUGpGWJ5YcYbOeXYUyU8seWZKoY0rxxKQ31GWYQ134qjOsNXeQWdRm3GeZBW6C
KQwg/a4xjU9EhXYcAtZixmhII2kl7lLLkIlZ8jYzk5ZUCUYt9tNE3xk45VgCnnfSRunWT4hiV1qq
vLoev6aaRTdSvMxIi5sxbDvwIoNPTEvbKblF2nsQZy4lyL5CYNqigonEq4jJ/4bDg504LUmu6hjG
MGnbakSIw8lmtmdVAsWra7fD0N3PAea4kf5hkaiXSVOSbuIraxTpJat5GqGVHaMKzpAwiugdmMAQ
iPiTPUz5gg5FYzH22lXU2Zux7F5T5DL65EkM29U93a8wgHaR2RzSTtlOtvM0JurjbE3p0slwxkzZ
Y2Zei6Elu93vq5I6bAW5pmiW+hpLY+SZHbY7YzXQdCkQ2xstQvaZK7ExnKRbqxr0gFCYj4VJRGcs
Bz9QGrJRQ8VGqriYyuGhKRlB4sm86zrVPVZKYtY3ZSKWoUv/ybbUqbP+T5fRf0xbsn5GusKwiyPc
ynP228t127aGGUz2dImRyFmYm2A/XpfHXdItlKfiI2aiHUndRXBA0mGhsjF2v7+M/2OmkE8vWYkE
RHSO0/LlvTnmNkFvCcXu50vhPFXBzlPxVY2PlIr+h/n1Z8+jy8Aohyqbk/X78ajjnhWPYr7U4rOI
sxPVJV64G7Bf/P79/Hj34xrE++HnyT1Qo28BLtCP76fGw2sBRlUvbevQ2CDicHWaH3//HF/ccj/e
+XiSN2/m3ZP0kaq2OvC4S7Fu7wALrcRW/UQJNeSmY85nbHHFGntBoHR7e+762eJccPK4a1fB6pTs
h8W28Zuzzuc/9Ms1/1/d/f71yU6AHw8lvDxTp+HdgOhLIOHd68t6KkOKSdUugXSc09uzUo/ax3AP
AxS3qz8t9g/aZlye1+thyySZH1CLT5zb1gD//t2zfd2zmXzAfz1IXpfIlD9ZsMlHfZ8isYV6lPLa
DqDMr97P7ws2/QMrLdfALWoYMsT1Q44EmygfcybGL4iZt1YN1dBokf5m/vijvJfmygvP3x/yL/UN
jusincnrgu68X7GZbk7pZK9PFzDVmksnmfKrWKuc+zIz9f00pOnDRLxq7bIwOQ4T1eaCIJSvWYJl
vzd015FaZhs+iPHBpqtq5Shdg8+OSj/47OeZDDgKQwvOLDbwJxiVPF64qsl0RiUUzPxxq7jeftQx
c7dd1G01kmG4s9RikxRkJ+kGBctVteNjDg5uX9b0JpoKHmu9UClYd92KXr/pztPrZZQZT1OQO/ue
gX7dlcpwKNIS3Ho5ANDq4C6OmXqRGj2wyDhNl56NoB/FVOzakkLngRaG+jF3+oLOntcKkrvJYiz3
KbAJpePyIRrDAMulWMZptQd95S3HpEh3+uwBbjMd/TLUwns1neCrG83arArEwFpdkb5WNp0dzjS9
9MaeagJnhdH/QPtwu4s70/NVmkGppSvMlaCeYmtrdAvEJJD3NZBLqm/FaW4I3VawvxaEi1msW9Yq
SbHP6aF3npCYoEGLn47SK9FVPDAY5rHGRrPViY47Q7Wro3aP8/Wxrhy0hAz/IGkXIC9kwqOwnrsl
/PkIewSR8UyGxwNS5CT7WBUhKo3ky2HlEDSXkXMhw+cjKXQcs5jlVIbUHMuRPxT0DJBZZ3I8UWhm
LNJx3Oik2vVkoFDJlFH3hsw7eerLkgy8GrZ0GZCKp9h4M8qYvENePpDBeVtG6HGehQSbLfgeRX6g
TPLVkoH7luS9iMhstwhhS4oNOAvktLiS0y/I6wvDOktG71iR449koH+W0X7IakiXyXom85/PMR2P
UAA8U/beSy4ADs4KToBLbMOfIQfYQc/fwBLI9ebZkHABD8oAI+QGze22lviBkeayBSVJ+aL7kp2t
U4s+UhxW/YtJLSHZJKuJ1pQWn1EWWfGtyOP0TLPrhqb7KSvh1gQG4Z1mPAttPf56r/+fPtZvXsvz
p/y1/fEY///zqV5uCX99Mb6EJfuzUJ981PeLMaE+DwCxiYaPruFyx/x+MdY+mJ5UO1QduxGX2O8X
Y0hguNgQQEyH8vSvpv9vagcMZM/RWWbJYcQ0/tS//+OUyMWYywSAMl4FgA2EsndjmokRtjCCic14
NnTpFgA7O3C3To/Uuy9NGZGN5o8BHjO97rLNQCBPiaMWBFawsEjwewHRnZjKmqar4DCVeNAwu3im
euiDkA7OcWeMrT/3WytRHsowpD+NQrDwQks8DpBx6+J7kklejX7zlK/aAuPMJ1pjqHiVCzUzcB8c
M8hWrqF04KU6PLr5llbo0DcscUnfiLGiJRmrnaEeZkEdMyago6m69gKKzF2hsPfOG/U1rtrPw6x/
wrEOiLBPoyWtfte5O8KzGc2HYVI+NjNQchI+MCtt+GGzd17Y03QARHNl/1/2zmRJbiPbtr/yfsBl
6Jtp9E32fXICy0xmAnD0jh5ff5dTRV2WSnpmNXiDZ6ZR0YoKKRmMcBzfZ++1dSXVVMJKnyK61Wgi
4Bftlxv17KkXwP0DJCwLRj0oHL1MQDwtEtWslsr+MLIXF/9B6y2r1qBebVQHT4aahdOpzWiDXSOY
Z0zFqkxs0vu1PY9H1dpd+GamTjRs00kVB4jzCfz+MjvAqdfNy4IIozPVWyPCkYa9Zdpy8uY7WlOY
6q1BcQLh0IbSPHa3ydyAJFtydTtUtgSYNTQIFGANLHLVq1bHvJIGDFhRZoCYG++lWmCtYlAYt44i
P1FVmJG6PnG5mlFoHoURFhR/nG/5bDorwtbGRuI0TzAnnsKc5QpVdekl61W5GcO+5bwf/P2kYhLV
Dj7UTQMhFMOVjY0q67+skIwDUgB29Ay6pOmJ96Hjr88KQl0bDM2LLRNEiVZUB0abT+hDNH5jJdmW
NR9VqpOO+KDbdeXK/CawwY2YhJhWmaCbJqSwfO/k4MyyoXX30Ko+i8kM9xQ1J6tGifzGXyqm1yAn
fhqN5VtQ+ew45tQ4RIbDe2MI4HYc+yvb7DK1MX0fsrUS5Xs9l/GqalNYqK42uAdCnUe/Gs/xyFom
TBLol0Zg7+vOox2ePtlV1LpfqeM7K2dOvkzh2PvWmDGXGEth72VIekEFgfNucGwTfShATGgmGM08
MOFqZ9gSgTfpy8W7SNVAn7/znYtPik32YVyystsmMliM7WQHJE8GqA1fORUYh8A0rduK7kQsdn57
7vANqLNNQ5QypgcAmtg9DZQdgKPZrsqbp1lgajSWSE8nYwX4g87foX0VcfOco5uwUwrHbVKQQR+K
qlpJwy9W/iyfzLLCANum32bMI5QvxsnF3Afs72sQ3Et/m5YdbfJeruOVVOSEvfeJ0/tbb0S7MQ4S
lATxNcpOVwSnr7aQp9zJXyZv9Pd2K7w1plh9iISXvBXHnhRMxfdU9JqLUwQPaKM3jZmccC36EMKq
K99wPiwvfB5yMW145N10iwqOgVKHamnv2yV8bBIvImkJ/6LpNYcLnBsMkHlvQzFdU+UAeqcoz4QX
4JUkd7GBq8iPo3rV53Zzdo0F/UDSAV1aB3imp8yPrgN7vBQTRNSZgle+KZjpSz5slI3l5GPKMH2H
hVt+87JOHmJ7oK/Z6ZEsGpByuGOom/SqduXgWA1blzPL6Es8Hc1NNYp7CrHGvdSYurgEWDdpdF2m
IXa+xtnNovN2tUbcRdUY3xYIuNREteK211+eRUPxlP6PdpqfIKM03BsYj+7yGIweFCyaBsEa7FsN
2RPuFO5rB/DeohF88geMT2P5Jg3oizSqj7piZxtqfJ+n3K9WA/0yZzmSQbym8ulcQPxze1CE9mhY
e1vjAG0NBsw0IjDxXWCBGhvoaICgpVGCssbMrOGCkcYMWjbAQaIq8kBGBDqzxhHmGkzoJTkLRw0r
NDQnAU55fOtqlCEpDZLBGm8oJFMScdQRniHww7KAqcMx1f+/2WD8/zfqaOHk70edbf5/NpUCXf4X
mw9e+HPaoaGB/j/g4LaDYovN49+mHRPpgJuppV0fehD66e2gHZDkIBsPi85kFhz81s9pR9MNgHEB
QQ9IQGo7xs9Nzr82CSyB/nYBCUH9z1fPgH8PihhhRTQc/r1/EnHiaHKFOYAud6qnUbOLB76ygpXL
ypetuhGLJhwj0r64HF0Um9Db2/nU+QaceetWDCVXKnil2YI2aIBOJqvsbxTG7nVNdxJleyA+C81a
RoxX3NH6CrpTOKwhiIzklZf7XlOa7SlI8EP7jyEAZ9TMcuctQLl94M4IUTENp/6xS6fnSNd8DrK+
h6EDNFuk4cE04o8SWPTEwCOK/qoyWNJhnDdXhpLmbnbJYNbApnMsaTz4lzW3xjMx99eos9gd1u05
wfppDHG+ixsP/s/oGSu+ie+eysSh04RrNbnzjgjjp1d5n4gIcgPWktgXYOxwsl/Y3JenuqcbD4Xh
zRqSWxp4aD6W9UdYFtcZCaPAHvy1SLyKmlz84lskr32GSW/vUnIApXAXV9D8ooRqXrf49HJzO+lC
hCqv99QOf/fVeDd6WXwgmBVgqMchklG2Tm+hoNtPTNc+cahVGltPKfULg+5hcCwT0pfJBbXULQ3c
kvf5MB5tr/tW6B6HxqbRoSfmtOiOh8CYn4IciObN1I7xRd1NjC05Umx4kdDIu+hhJ8KpsW0lIx51
9SmgK7BFRQpIoklleKx1wa+dWY/wCHnW6/Jfi/63Jc7s18XwVzWgo7B/6L08viK0UJ8WQ1cIJyI7
1G61HWl4MgnQI24HAAEgKawyI33ShAWIT7QSM+7KjR0zjtS4hTZu1SHbiuomlhHXVcBYwHQefEEO
cZTw4XsWclQgO33JWzwXm0hOz7WbfvfpXIo4GWmxanheKfhLvujfqCUkR+/Yr8LKv7HWoQQk9vdz
6FR4YuXBMuAz6IbmiapmoTubGw3pKrMNdYAw6rMLL/IvzZ6i54DG52IpvwxdAT30DG7M81AqMwyT
A03RzHMvLqHEmQbpPOkuZhqlwXZ865BpWU7R5UcJXEP3tEEH9UQX9TzSZ9tE1lNcEHpIVPQQ0Vvd
Sd6h2oqdnV2zL8loty4t5zXyx0dggsTT4lyCLGeV46fGOwHFu1HJq7hWoPc03d8frkfTubN1nXaB
yVbRr+0F3trBcBOjePTeeAYY9B7P3ZNek8WlC4HXpZ5rOdj0dtcGzkoqJl9cppq9jEUBr4sYC8cc
hScN43ioMaHRhKkIgNGLoi/cDofLzLaOCVXive4UHwSdmo09HmvdN84HFrivyO94rL7Xupvcz2gp
X7xgb3XS3sK0DLZRh4vT0q3mVUhIRvecy7qQR8g+66mFvK770PWJyyllVtvMGW4qLEL6smbseorU
YwPmvElqxOAt4Ey6tWfvUvbhB1ZzndjwHi2PbjSnkQQOIbYOc51sKn3EqWShXsW4tyh1z3W7u6XF
hxbcMipifigAU5i6Cz6GEEcx5vTcL/G9aTjvvu6Nj63gMhuSaB/HQsBayu9oOVM8mgHizZb/bqU+
k7ruonfo2J51O32RWlwngnmXQQVV3RLdy4ZpLFXmQ6nb7XtyUh91Iq483XxftZwRafpMw9a1CpND
4QZfC6uXbQd7BdyuAf64oQAsbV1BxKpdiucCrnR8uVjcRDpuqfRnu2c3UA+hRqkrDVVflupbtaTh
lonbBra2vFDwOq38oX33OtGsl17dOGl+lUBrp4H22wS93dQYd7tUJyBQW3xJ+bbv3Fuo7Zd9KNqV
pyHwEhp8ABXeEAq+tgbFu3i22CD1DzYMecTHU17JJzlgH8+4q/PTLC+h5s4381Phjrf1KG/4PPAm
QKgvINUvLrSHToObB4RL8Ds9M2d3X8K3N732RBX12TGmxxLaVeS4Nx48/DrEgx/wi0mj8v3cYx2o
8fmhxzUmZehalwayJGfsZkzrQwl1X2n8vl+0HDseg7xG87sa0g+pH1x/LY+LBviLbDyWP5D+Gu4P
3Ns6QnNMN6FG/1e6BCAzFOk6XQwQT6yndVXAj2HkHwFK29D+fiq7T1uwgFX/n0OZft3PocxCZ3JI
jtB/hefU1ZurPyQo+zcMuFyQMLvajGb/O5T9cJVgvtA7tUDToxjlfrpKIFIAmwrZ+mqTxn/ZJ8P3
/M9DmcNlHkaVnv08fhTr34cyM+rbPiNXcDMpw9+VgzNyb3SINTjjIfERMId5ZsaB5HzNH8I4GzkB
vZXHCXLMA6N6SWk5usS0AunXtpt72XvOwZ369mrMovp7Dcxm7+d4zJPcB1Kp2d3rOhRMEIUpppsW
Xvl1I6XzKgyv25kRtTxrLikos2VUEoyrQ2Sj5G6ecvc6Nk1xsuIEt0HgFY9dMLuvNPGp+9Fy+8uu
Tajp6MuqWfm9gBrkztWT3bP5xINvfVL+mL+4Rl4eYhdOAypt+zaA3NomRkCRriI46ctRnftkqG9H
WcJ5o9ovTuN6M/D0Gq4TweT3URGdds5mGS3zxNIh6/fm0mGdd+JQJlc4TQh9NFFbKsakWldh4CS4
T2QInoatKKpUB/5uvApQUsg7YMifHO7+Y+Dj/xsYHTe0mOTsVkQpZrKN+fwuB6spuI2FgFuj6dUb
9d5DMK1Cm/bKXQwc/TT3YAxoA1je8Iei3JVWaqCGcCej2iLcR/UQv/NJStdGuSxvUZssn146vSjR
7Mo4PQk9bhSmN6xHV9UHUY+xuQrMHiT8HIgz7tn5ItMmFbfjXFxNRSVygFRxumuLzoYeNADwqbPm
2fHT/JhjobGzJjnUoplXiTGSnISigPLWevdBUhfHTtAWXhu0Jk5hY2wKC5vQip1A9RC1BhI2ZRrv
wh/Fyc47pjkKB2Rgio3qBoL0QrTTlrBw022mKAWOIar2yKKqRCkM2iP6gPctpvp2s4S+fAQdJi98
6ZAXEo18hXMPdHTx54s2W6rXpZ/EmQ+vthmV47WMVfQSLMX4WJJL3fbVlN6LdKpvkoFK3TK0fUqC
HGdoV23rAA5BSuy27eS2mxicia8HF+9gDdZn6A1gOeyTP4327exBsVoZlWd+ErpZdk0KqCKsW8aG
MXD/OYt/38zqaODfn8XXpB/iz/88ifWrfp7EkDgdfJbkFok//C7r/zyJTTDWDByWixZPiaHu/vh5
PbZ/Cx2fxi+XECLJQpff+nk9tvH3Ye3jXOd0/2/9faxz/3QSk3PUj4GQK7LFDVlf33/1bDQI3eno
G9GlCk3U/CXPwrXZh9FZTI1xLv0WKVQYc//NkckJtMsrtnbwVL78sAfXhNnnjv4BrYaIe2MbEixl
U28nmcKPhTdZPcVqgHnBAwn4fkmHNUUGqYfWTJXTG7ns9LNDEWRmL91k47bAeUsKfEtKyHdJn0rI
KXlrhetcOcOuUTL0TrPPcBeCtW2jnjt8ltZQ7yWgztVEGYcI4on0M1s3N42wg1k0dQcmF2mt/wob
BnNOgeAKFYtDQsWnvDev66UC5G1Aux5vTXu5SIbwENniAurZ0YyT45RGNDrpCq3FFO6acqF+Y7VO
clE73t6oxY0cGnlXR8GZhQiN8XFQruOwNS9KaFtrS4zZdvakZMMsWCU0/fXUtdcimwJQLyjxM19q
irgRWWN0Fvq/8b2vU3tWX5nd3ae5cY95tHDXAyvVG9EwZdoOikNT7+LaS16qlLr7jucXPV6Xg5Pj
nqqSL0DK4PVqn4s4vWlUO27C2S5IMLvjrg6ajkXoYm0UfOKy4Y9b5+w3rI7rDNSTjWWWyfUQj3TW
17KHNNfuOgpOKJsg9QWEDBkbA13IEFxbjNupuARctoMFRUNGXzuPLZ5IesLZxVIevoMcma5yIK1c
Lbns1H79yhoFIdcUYarFdiTXdlZy/8tX8V9K0K+ZG6afXywHgcO5iOPAxUfpYRMCMP/vH2xpJKOR
YfC/soyk3tn5aL0lM+/TOGekGv6ZRTmxsJAxmP39+Xcs578QB/Vr/jj93N88DjKsvbDPCT6hG/5y
+rEGZQD8l/eEg+nn6ceR6QEV8T19OIWBjkv9PP1AFBMT+9mSqAfHP4mB/zdx0PzxIfjVl4JVjsgX
PwOkSY5BDWH79fSzk7w22VV1V0XmwZ/X+N+pKtiu3+J4XAb2nGECwWzrJIORcKkZ2JC5ZgcxmLqk
uRzXzpzismiCtJmvEZdc310FPfMM8srkNfRpuHliA8dAmzYpJc1TyAEiYrraiCisym+L8nrnxu/7
UJUbnxYRmr1cdyQzjHNDtm/+Ampz4fIKn9NYT5MaAAbR66L2sq1D+quN5BhTvaST1s5jUwHsCLgh
Nn1FqZKTyWJjNuNw5kYx76wgLa/8POvvgDWM70bpujUaXhK/D46adjlT0AW1dtUWQ3B0JQUVz+g5
yYEnEUa0YLTnW9O3KCLsK9hfJQOlyfV1o6L6qwI7hGHBstQbJR/tOu8cC1xZ5KKFuLJ7sMamWPMO
uuQv83A/JPl4gWTP/mJJ9zmrsTtWWfSkwUSCHWZMDigtajzcrhMIesZ8pZA6dxludCwvZg2lpEXj
Y0cH8GUZiOpEBhdMs+bgCcPE+mYvNXz0ZcHQklm99c4ywj33TRsf50y2L5xoNutbC197HcabJSj6
677PPnhLy2PDgXJvtqmRryUm/EuHnNDKpZbyaoZLsolnN71y07bdh7TqbAmCB1dLg8OnYGm5Jiqv
1okdzx+ON+UX3Pnbp77QnpJQgkATqXVp2ybLRy9psx09rUg1U+PdmjAkdmnjtjd2CiqLh2J1xvwI
YL7NTtFcLJhzRbBr3Hn6GgnUHoK6iE9TRc5/5UpfXKaRZ5yKtMV0Xs1sTrqu96gfDMp9HVNAA2Wf
VbarOOIXK4xOuRLeE2rFM2KydWGJoL7mx492IsNS3VaWA+xOGdfzkmAwBgJyjNMSBQaJ8tJp6/ku
UcEIu3RstnPaT9t4WKJdi+Idb/45WX+crBZX4r8/WS+r79XHXwyWvOiPozXkSh5Y2sPBOR26/NbP
o1Xf/l3fsimUtb0fsPafRyvpECjO+EzwcXL3x0ny82Tldxg06aizydsCUsGa8l+crFoq+OXpqz0m
bFo4+Fk28+/6Pe/xixW4qRqnCxKZ3DT0ElIqkI0ox65/beIEUOinQoPMs7oaPRqI6sUIN22K64Pq
EcpPdxAmze5+9Mw4/OJkObB/t6O3OiuksR0xgcHCsJ02OpnUFAFvX0A83jhZSbkBJWKJzr721gSk
bnEX9s95G0b4D/zS15VMs+fRHNTx3KHlYe59fAAKJ+GBvSE35Vy6gl2Nr9xDEyt86aWGj3nNmCuC
7Pqe3WPX8LdUb3CVzgJvY/y4ibvUMf0+wPwjcJl86v7+o3/xlv3FlUq/5ucn37J+w7QEHwWzlIul
9NeNo431isUPFljb+J2n/nOowEQFYIiSZfxVxK2s//3o28FvHjMFdnLf9GyUsf+KS/YX0HRublpc
I51ucK36s20cbR6MflO619mQx2cRF010P01Z2Ryw4WX7UVe0zLqspaG1BT03PzrKHdeurnTJoqI6
FrrmZfzR+CKRuwDhAeHDNwZVtACN6jI7jxK3QUZ/rQglPccL0QqMpzuvYAkTs5AMl+DTlWgGwzzG
G/xJS0HXcXwuQQ1JkEPiB3vIkv0d4Z2jNcAlyjWhqNWsotGU1JZUh8Wu9yMwo0ZTjQzNN6JpbuAr
oQ7dAtK0DT/9CKcHSCRQ7Ef8JvcpGD+kkReh2UllVJ0bYEpKU5WAhL3kbOkR1u4LsEtxGoCRDsKE
McWueeDGrzzwjnZQb6URvdrAm3TQfDUPsI8zTXZqdS4KQ82KqXFYKwV9xQcE1WgiVKasc9bmV00O
e9WX8WUDPEoBkerYVBFD4uLSAYyvxhGOdn0qNHmqqLqDC4oK+y+JLdhU4QLyObPko1/DrbL9+bQA
sgpUcjtrslXSyWOvWVeNpl6FM2xvzcGqNRFLAuRhyHnNQGXxKK/Wrq2WXTxjc4jr5AOmM1gX3Cqb
0pz3bHVPuaZv0Sd8VWoe16jJXDSSPdVR4mxt9YW0Zhw8TfGKYhzEMcgYij6+hCZ9OWF43eijaNEU
sAEcWKC5YAJAGJvY25yYUDhgBXO4TUvNEnPjEgqG5ovN5XIKAI75DED0KpPBNYGRObBm3Nj5Bm3/
tgnEw6DM17EGzKbAmOH+mHUzExsSLlOFPx8yzTxTP+hnYNAmzUMTphtT6R3vJKi0OcGhxrC9o3Dm
Y0ZVxjWk9F4u9dp3iLvWBSNuQv9kT/1MR/oi34zu7Oz583uHYjanElJHCv9lAEfr47TySeYUnAYb
etLLkO06L870O76UWKfSiPgD4dBdKLDKYUUDkQcXNDnMg3G98GW4nQPp7zMRsFRhDgSYb51sW9pr
5NOV3fCaJa0FOhyGYn8yqi0MevzgbmPT2GnOxpZk23QsfOGu3KZKT0EwLXt/cMdtleLznZMRoW0Y
dmNXfKDqXTcDfmUOqUsbfv2K5p3bufXjTZvLq8YDbmmZz9wU5ntliuy1pICV3R0LF9vEuRQp+pk6
PpDKs7MtDIHV4LAHnsoayDtzP02DeMwKCzCeXxLmMsd+uCoch6RVhaFBzJeZNQANhjTeN5Rl9zm7
fitt31Uv9qZdA/8B7156GJEcNzgJtKeTGefBpqpZ1VhBqb5ZlLCs3DIYt308eCsy+UAFEkRIXW26
E3VerJduMT4a03qRRRHtQpCB21GNwb5ckGGyLHf3VcFeq6UhloKTpqJTTf/9Rl6Bwh+dmzDZ5+N4
lfKNQhftYb6q22TkT20Il/KE6mzO9h6NvwMTkLcruSim5jBYT4lfc2ZAR+6WnOwgUXyZzLuiLCA8
pQ6uDD9cV4F7DmLc1WNt7FM3ezUGte9Fe79kw0BWiN1uQjysNLPLtlfxbu7xhKU+qOq6Pnh9+xXb
kdaiqn7DrpYvbJavrMtgKh6KVuYXYTLcoHS3q8pha1hUeB9irADccp5nlPHRqfHBBp9TZZlUFxSn
LhuZj81pDx3k/p/h+Mdw7PJI//sJ4UGlZdrN/zke65f9MiSwATNM9lVAV/7dhG3/5lmcP66JfsAY
8K8JQSen8Wv71FngGObj9IvswKztk4b5BWr6XwzHUEr/YzomVB1w0oX8Dz8K/6VfZQeBTdBraB28
Kc3a4b5l9RBJ5j41Cuwh88gGd5pIsKzA536w5vi2VEuyn0R57wj21rb/Pg/ERese2xA+gaYmwNwF
HKO9418ZndkA1wVoTe4FE2oVDhs3npOdVXs9W/KYIHKUaXQzvbhRdd3O3XehwxBuOH6nWaiiOrxd
9yGhhypIzxMuGLQ+eSnq5kYZlbup6FKCFOwNG7ylOJhmBWVZQ9B69T6wvVqKbN7jf38Xk7lLxs7k
UI0PPiJLuWRYKjLtI2/GVzrpHvNu5padmfe2273EgWvtQ665HFS2dx0jWrCwD7sVtnC1Nef4zce8
u29dvsawSG+xD15XTpOT07TuCfCRLu3T28niHmy4n05X7G01vrVOenYsYp9K0AUXWGfF0pwL1aEw
1EtPNqSaekjGWfxStd5LKAljVBvMZB9tGH4oq71WS/rsVtNHRoppA3li2bDQvKE0ECuyOx6KJMWk
24HSWEhT7+YsvcfecdXX4mqxmwgNgV37bGHMdJugOEqTWwYSEm5fAw6eO6IeaVM2DhlWOZN5lokX
73F7e7smzhF4emMbtNOj17KFHOGthH53Ciq6ToywuK5nBz5JxvCl6tLaz924DwZZbVTaJ3RI5AHh
6kRtpIE87w3RtHV7C/Jtzu/6s3VQ8fgUBf4uT/sbz+ivjQpJS4iw2Su6cZBzAlp2CR8RE1pNHY85
ZAS0dEPRnuHSZmeJaM8XLVqPUGANH4A0fxX8k+pdCnUHO/tmjI1jLH0KvC25dyQAGForQv2Izxbv
scNRaxTxU0t8l2CbWGeLVYHC8TQjOkx2Qb+8lLKp8ZbUp8ivn0WPmzxvx0cRgkvnpTnhG9Fs7SG7
n4U1QyDyUFRMsHOtKNZpVV86c3idOWS7u3kidVXRIzwN43YKpuraH4uY74oKNrJKLSolw8PY9Xj9
aN5566JabjDORhtbtVwKM/ncZ5go0ke7M3M+gSkoXXI7rOb6ddD53b5sCT1h968Pk0kBjl0Z57ke
L6HTLZtCYqXlonqLxyzZzmWzbHyruEpLYGYzO1UUf6jDU7wco6l6y1i+6M/avWOfxPyVGZrhFqu7
iky1PU9ykyT+NsDQiMvyi2sIPV6+86UW45Wh/MIY86sal5Z2ZVJ8KZKthxlrNRfNXQIVOucyQDD5
GFQL9rEwXytzgtU34SwLWl3XOH9ZrfpGDe95rLrbvBaX3SAz2iu7DZDBS1xOyJMGiyG3HC08w5Dt
eh6La9V1X7Uo8NUxYm3yyX9LG/UNbdigd4QGaauCTDmNgXfq9I0Gm06wzqXzAkq6YUMD7GbIvY+O
ax84WSvdcCCfW6GodW/7fpcsw6mLmPwJwt95yfQmia+taidDq2paOhbjzly3DreswtvQKUCXSTLd
dy45AyJ023xKRqpaU2tblq7iS1fxlQi8y1xBM66m6KrKcZ85fTStfeqduTJdV3V4H0bOwZ5mQisl
tiByVXeMCVcxIKxd3AX5C1jzdB2RgxdcPdd9rr/YrnwmJE0CbBizHccqVEoreZ9KFIPeSXfDWJ44
0O9mpxoODWUaXKt6RlOyDTqaP7j4zRID0vHQ2kxi4AOioDwlEXTLrMkpvhhuU7qrVpYkeJGC+vMr
ZW7LOOe1w3DvejJgMu7f24rlTVgrgjyllWDYagQcTvFFOyDPi0SlewwBt2j8757Nd7vJ/QCGZyDW
+cSKDLNBeWVgVl+pqnkxafFZ431gap8n3KxQoVYJF+BNxZnt1qWxk0QQd3lXvfdh+kxqzVnTIbOb
yXsypGIS5HGn1iP0DOLyRrzDbsJ7OqTc+OzxEMYOzCjKB/jSQIjqneExmbPbkWfiupNYPFO3lehH
3DJyMfNxCyjyQg3mE6ttHrVY6D5g3Q52qgL4gV8wNrjqicx7dGFf0WPw3a3cGxnXn5N2jLaOfEEH
wqGEG2Hl9eWFSb/ele8ugBpxlfg0jZOvPwKwVmj8Vr/NtO2kyWV+bJfmkSt+s8Gm/ixoYOjS7vvY
5Lswko887I0z95wSUGt4bNP42k+bB5qiDraAcexjXkfgrnq2fuMhcrlw0NW3qrQBBlgZ7A/f/0in
SmwKBQYMPX/ZzVVwZ0ZFs+XSBCh/mUo6jKCiDHkfHQ01v3mCD0OXDNYuy4IHWrkQ6yNxSuP4jYF4
AyQdaV7WtFxUvN6vb6oM3ijuh3jLve2jlrhBqIF4dQziJ7Lxbozee6rYbUZ1Ph2W2P6SBpKXPZj9
CoWf0O1UJjuPbin2Em2GyQARrpRmB+5txt65mK8e/EsAEul2qfmLVYJTO5lJcEmfAhZPyDejtC7p
JEjWXRrJdTPU51S7HSg/2M8LRRW97VKYYWQHGQN4SQN6HYzOgkhhwVWttE/CC4PvlNHBPA3gZQxI
LuuqgJ5SGVQhYNbmVPWeC7bVILIjgumNeOBe+qhCrqNlyjVhzC/61kQu6YMOJkhFYMZJ7juPug66
m7npEzEqjPDRKfubOB/Dtd1247aoYT03Ht8nm87UKeaGYGXlUTA58YWUxnq02vc6Lm4maiFi3i0e
IfLQeDT1siX4HBEnRe19eYZ4EHbAQ6DQlXNhxsYWDp6VWx/DrM4hT3I0IvejJUjVBFRHlLFJ+bFd
bmitcNaTlz3HBQhYfLTWOugRIESxi6N3I4gvGAwIszh0tpu9PNW60qbuJYvQtDpGjeL3guw1ho1D
e4p8MBUew7oXd34BDNVCfnLC8Xli5mJHscDrq6ty23RIp7PLparIGv44DvU4wajgtFXOOWgqWr5m
fIx+Q7XYOH4RAS/A3PhcfDJ7Zwz9S42jG2uviTqBjZ7PwqXtpd22dCX6b1bfeyl/R65v2oyXE+e0
gkjvKFojPOdkBt2HLGbK+FIAjdMP5cB4RNk9TXP+YDmi2IwtR6pvvA8D9N9gLG3kHipvKEG4qFu1
Kw2W7cZMy0lYU83VefIzZDZOBrz29VR+LoU6LSGyWqyWo2WVLylFOhR7PdYDAPuWKc/POPqShk9m
EhJRYlHID9n7e2NSX6xycH9V06tdMPNheaTwWr6A6DlGJHHovniLguxddv2141A0l3bmJi6mHU0w
PCntBmSefzclGOJdbAtRU91PLRt5JzyGriD8LMky2es5xcUw28k2IRpJ0O9CTdWxT+t17hoDPRnS
pBAt9q3sNi8X72WuUi+4aoQ78H+4XT1sZrzPvVuL0z930N8XNBgG/v4Oevmm0rr6qwYNzXn8eQkl
G2NrxVm7deAv6LauP3Y0xm82Sxs2wihB+BT+uIbaYE8NxzT/WHKDefi5/fb1jsbEqcOmhhCv919F
Y2y9mP/3JQ0uCXwS3D8Bm/Nj/NkioURm+fCVrwsDWeYywQz3bTKNJDi61LDHN9ANaNLsG++blzik
WENRokWOkwBus/jtU5g41X0Ypu6ylnY/0g9Z+t1za9N8wQme+1svgdjspOJpsjjAGW6ddW5Z2dqa
PE4MTMyYqvvBe4jz+W2Mlzds7w7htDuvDUidesbeyov02ppRfczM205DtOmFOiUepwYXopimvaHl
UT+/ZQ2dTQ0i1KrHT7JqiYGCEghyrM7BLi956orSJ4/Yh0cnBtQzYG6pC+/OGdy7IvXMTWb73+do
uloCFW/gcb81ZXNf29a3JECgqwjd7mj2xPtOsdM+SMNiXQ1VumY5dyc9/4LyD7ic2S7zyvyCZzeO
zgxidAQcwWl9Vv+KOagY62BdL9nd0NSPjbPUl7ai/HLRDCFO4QkPOMPA6Gj1MWes7OyJnCSD3UVJ
CnfxoTx7dAa1Jgyv3lCfS6tmtD4doGv7Qw5Ki6P/YGZkin1f7kh2rh2HjS8kQXo60N4TyXtAmo7x
aAjcQ1ryK2eYeojh1VOZZN/9MLsNnAT6TP5hZsmDVzHPdp10LiKa1lFJKb7kwj24fkIZB4DXmC1z
bPs2fTPOXeJ5D44Ckh27/nevKs/LbN/Vc0CbiRGgpJU+vsqhkqsqns7UZK3hUyNTV+U+T3mQW07P
zG4OKJflk/TafON5Y7ozp3Tr1RjdXaxHYmRjjnl2B0xruOppgUWAaMGeKufYZV7xFBTuRPqxv10G
xEvXTlAdeuYGYdgbOfePapbv0TBCS0uwGbuOsaNU45nuvBef9LqlzDfqXShV1T+GMdyJmaV7tFzn
zDJkf5nxmAXm6oo730X+P+ydx5LdSNpkX2Vs9iiDDACL2VytRQqm2MCSZBIqoDWefg6y/qpmJtnk
VM+2N21t1V0E771AIOJz9+NufBkH8RwKN1ml8aityp7MiOnGNTa4Yc+IpIduHh0yinAdhqezQHEe
FJsMVG114VyLem+ulDDNuvhk5cnZcMu96YpLWzlk0KYRvm+bK8Uonk1FWQSWzukZf5fI7F3eijPG
PQPYVbNXXG/lt0W2wBV9x6z7s1D6I8aSV91L7qra3mq2OEQt1C41sAWtLC6p24zfgTLZr5ImtLM+
+gTeesnIMxVnPvxkEw0eixLNSVOTs+5plwI/CFyKz4yP5nTxqmxmmYwmRnKpm8w5pEawt5M6fQgm
SD1tfTq+wVTuFdnkc4tE+sxDsZvbSfLSAd9dMvm5apX3KJVsmBuGDprPZTTgjAeZ1sdGo3K2IaYv
kpfa0HajxUU74N+E+SWFdDD2z5VU1yZ4LiOXHE49eWwsBgep6XDsiNOFqU8WGA0FyQp2NHAZ+1Ar
0yu0Tq/a9a3GgXhM21miG4D93AIqTOQ8NEkKBTdLSMoQ+qpWhVTrNdEpilbSjKbt3tQv/WDukBq0
U8CDNec3t86pDSnAaiGbitruH8Yi9W9KTZN7PMDWuuYrwDysyI3GhH6W5xjmZz5TH1q0RB1saoX8
MxFqLj3kqrZSIojE/31N//ma/uWo+PiaYqQIf4ZP0t8Pi+mjx2urMzMmmcD/9Pd72vwDDBgTCCa2
0yQZh9hf82IwH+qUbnX/NFm8z7Dy+qbYw0Zy/kdtm/gV372kyX6qFqWe2OccAQUEcuT7WbGNZuok
uq+cNYXOo5pVUzXHV68L/FlsYdtsDHjiWrQqBz+RazXMyxu3TJSrbrcKMWqb9P2N77uQ9V1UlQVH
npL27NAevjB+YUZB0oxTHfJMVEySjU4Jpl9xuidRZ67p+px8tUg7PeHUZZsr7qpE90nzWP3iF0hB
FAfkq2ySh7oGoaqdJKM64/9rTDJSE+vlc/4mLU0i0xi01q5L7V0UkYrqUKKsIAGogDbV6M3nhNkt
gz9kKzkJWBIly0HRGiZpK7GtJQsEtQqT7JWUkb/Ex2KsywEdlsIMQlZxD8MAxcygfmTp8KKe6ZOc
NhrdAmtrdYkqzgVkleQTL7/hVtMeQjLqqFTxKSz8gKY+9wqaiWgX2t2gTmUTLI0Eo75UIXWUDjNE
s5b1zJmkP3sSATljhLv0TRicJMJ4qNRl9aYbEgXuWFARE9vc0Wf8LMqZQxNhKjTHqM4MDr7mrpjk
yLjN+uvIss380IyvPaplNsmX7iRkem+aZjyO4YpXAII61epUGkST+llOOuj4JonSx+osqjehlLYS
eAwuUZNbqqnzdRtFubrkxk63adlCWaqQMD2hOMfQxGc4g1kFdJF/OT1qReNdtSZ4koFFDVMqXvwS
RaKrpL7UTPcp1mqffCLlJG6SzKkiO0gvSCBZDWepxvRmDMm3gOLFwvDr84BuPKe9gSqr0gGExYR9
qjDelm1h73SLnB4MBkIqqH56kqzNgP9wS2eu9RZhWPNNBQmbvOMvUL/pI2Xb6eaxnY4wA+RQLTOk
cbGsChBjqQ4+8YbeMuZ6hUcvj2R9KAtXZUZUGmd6ncWqLCzI8yaLuJIBWSqnyaUzNms8oM/keRa1
2pNTRGDfUUNvkIvxtZUFjOaEJWOlJO5XGrAOIkquWdPce4pxrHJbZyCi5KdBYZqqi5KNTzZuppn+
LKkteaeS3KW6/bVW+n0o7T3ehcMQQAuzI1rs+2EpsnHFZz47Q3qwEnSeVtmDNjwk8HJAclveMXVy
QjL0aK2awL8Nht6HsyW3ZdRu4oIfyQnYC0w8WSWymfPFzotPvJsTbnju22xC2PAyVuo2mQNXmWtC
bl1KUOBivCQl/vOMbGbmfBOEdBpwVezqVyRq5mpbARPU1Zu86hYBoT8bX6rbQdollDMLaoshZy/v
HVBnbNruRatipordTJw9F4u+54zf8kK7scZmazfOgiq+pah7Awdov7eUeE7r70sgjLUo22Xl+3SK
W86litMbJ9O/ujHPcCKn0rjhxmQ0vsDrfhwKcsmxOc/5jZOIsaDJvMmHV9uOKiAvL/kyDsNdN92P
Whxtyya4jFl/Tpx4soNMQ/WNnWTUg3B5jszXJO1PAyXi+jhsU69ZKA4bENrG2SxugOzNkzzaiKpf
KRbjQKmHX4RDPRHttwrGhJjp+5Bn5zRX6XtVszWW4GiCZ1x0Wv7C1t/00MoILB3adlgNMnwpGkSg
uJ8XPCK6idRQgsQAU+zV8rWUr5nX3PQ10zdH3QyqIOaUPlqFvagohYEJBd6a2Zinn+E53VbAPzi2
IOr1N2bv3skIJ78r0ckzgGSJWc5duuLIPCsMTNWV4ybfhiI8scKtBuYzVeAshIODw6+CraENm34s
H1WtZovl3ArQqU5Q3fjkiJvkawonu1DVgIkwKp4RrkKRr2hwm2D8RNiGuW8QiS+DY9YaN2w2odzU
M71Up9nPLFfVjeK2G6dSVmogbyMrO9QWHGH+praHjVlY+dJTsLiqzYpH8VS5zkozqh1sKi5YLP2c
L6xPK6rOKYvgAPula7JH/ihz1UM2AwkMty2igRY2AJ1JSH1pNU+JjjGF3o4UHWYDYfq2jFeBwksi
yL1i7jJWJvptr/W6fUia9LnGXTTk9ta27WUe4PLJ6nKTOjCICZxhIHQprGrByaoPWRnd0LCx9sye
3WbDd+cu/bTe2LXF3WmvW6u9ppnc5wCAW4WurdDeOL13pit4m5rJrvW0Y5BBN0ibcJXI4ZJ76pYH
DHaDc43gEGAAecqFXAyl2swxft57pbhWZXVOK+sGr4xKOq66bSaJgJkcUGLObZY8SIsYi0NJQCf9
YzktVGP2OMT1Xi+tdZ7De6g7zufENrpp05PuvTy9L/NhB79qrzDzPCue6pGDDyEiV2Y/H/V6V1KX
M3bdvMVLpigRk1ZxH9WJvdU7puZokE9UXnBioy04wzMVal9FAnm3Lh7jMtiqunZmvQ2Xahmvta7a
WyMUBY2+v/moak+BVeUr14jvEkoxZ0Ufr2NDu8AajDjN5rM064wVZrKNFwvGqQr9VSMo7aqc234H
M2LQF7GMllaQXnpfrCOv3/UM+HMlXypV9FJjvsfHzXTTA2UYtfayafxlSZJyrrBDiOtmnkheEtjd
Nq3i0MJirXB7r8kBrEK1X6YZBOKkinoksXHVAwVCxNiXNb0XII7xROXzlIFfHcbwLogLQiXgXpc8
p7h2tGwrlfo4MiKpyvxL45RLP6rcuSd7wjlNyUSZ1993k6ffJ13edogMd+CpAPF0IZ283yHWXVmW
dM4rZzXZhIAfsvhGoTPr1xeZkhD/Skr8uQ01NCLFqoExCBn1/UVCJYHObWrKuXc+l926a576DKfM
IsGT9Osr/WzD+/2VPmQyMg85YfS4ku4QbeW4ZJOPGreZ+BQ1zyFQ8F9fjknbjx+Mp8kydQ6DzscP
pjsZNaYy8y+t8lw3+wLWivzy60v87BOxW2azzGUIPH/47jyBq8yFsnBhch9164ZKZwlCJPHXIakF
vT79+nI/+UTYIji0YGdhqic+nBjaVFT6oNbhJYRYFhpYlv11Hv/mM00WlQ/3w7uLfLCwVJ5SW8Lj
IhHTtLo8TIC7/7+PMX3M7yzkbT0yAsHXdynzo5iaaNFB7fA3F2EC+8uP8eGnyeMhztukCi89hTWB
NXdDaA8EZe0neB2iOusoV//8Y2FkxaqISdiCmPT+Y8WhQ+tEpIUXu7hCNqXFdWt73/75NYjFCJC/
3Aea8+GrQ1dUBOWx0YUu3CVquJ2SP5b3v77Iz746w4asZBKzsfWPVStZF9h2GPYRv89TKg4BJ8WI
xcAF4tHsTYiDnXf99RWne+rjPff9FT/8WIHLZjbXhuii9sqsrR7wef9mMZhs5d9dYiq8oI1jCuUy
ECeCPR33v7/pqswM4qDXkkt0KLf1lpfnES/v0roGN9acgsiVM1dWv/5U7y/5trKycP/re/xwSZJl
SY9AE11aAcef2aPusihkm19f5effHYN+nFfcedaHW0KMmrDrBDGJWsu5ru0dRM9fX2H69j/+OibE
K/zzZEzsjzd2XulIVFg+LzZHX9pr2G0+hyAV/Sj6zWf52Tf2/ZU+LHC4fDE82CK6aNZr4Fwt77YY
f7O8/fwS+APh2fMk2R9utVCLW8cE7XRJ0zN0u1mPiUtvxG9edT97hLjZ/r7Kh58+LjHhDT5XCeMv
UplCx8vSXFnUX8b1RYFnZf3mN/rhY+lkMG3a6BCRnMkb+f72Jvll54mdyUvdrrHmdGJZjDe/vg1+
uNE+XIJZ2vdPEOVIfKFBIS8dGrym+IuBiq//5BIGTHMyGy5ztveXiPo+USQnrUslvyjjFpHgNxf4
4VbmMzhwU3hOGLxB/3h/AZZOu9PSMbmwz0saC91kG0ZsTN3Xtw/y34iPyV3x78XT2/CVAcOP/t3p
3/pLOtWn6arGGcrBSEli5/uRrPaHajmoqobGps39npvg/mHbwJJwrf9Jt+EP/Es7RYolxDFFwlma
2Bb9o5APc2FugX+tdlPADV2X+BHiKfNh0kbvb5HRCJJAz0L4NI4KADgZo6XQnjP/q+pyasTOW4r0
EDpAmsLO1Q9dzj8vdfssaAdpyO4Lx7+RTfNcVeMcKmy/ruLgMeXEBj79xkgpDEGSmFX2Ezko5ht9
jf4X72vLrji4W+C+/OYe68IdJYJs8FzCqkWh1Qsmfk9eFC6IBe4tCJ6JVryM4Oy1aHzEKVHMedfs
Aitdun1kY7cMN1WDtzBKx0d4cBsqgpissPj0dvAU0fo6OtnBjYpHxubwzyz9m9KlDxDGP8Uag1uz
sValq6xGe7yEbmyj3OXr3I2aeeemCyescYrhfeC43wE3xCCCnIaQwly5UFZlhcN5SJxPRUf5bF4P
9pbhi8a2wdxHwOXYKisbnm3MgCGFKY0yrDOz3+ooc10ubrq8uRnqpLyX1vAic3waooDsFqgPuKjB
/WXJPFf7ox/nTDB9W1laUbqpCTTDIWB/YlZbqgQy1FBANtrXClCr7zX3g2Px8jJh2IxO9xyrFUCG
wjhK23w1bLw7yAT3Ykpb4d7FyWN6q5oB1mzoWrFU+2ETVcPaIQ6R40prKr4z35fmohugaZGMiNjR
nkg4Qtrw7Chb13Tx9HvG5URQzFytt5nj+MvadoeFBhEuou9aLe2l/oaFrt4Q0bItOgpdLL1eiDeI
dP8GlIZmUy4GiXTrB0Uxxz1yTJqioPzA+JJOYGplQlQboBYZ9oOtBta66OBYg6E3525cfMPTLIhG
RYthgl7bE/7at+Ibe0TItA37pAT49Wo9589gPpUpwaPszad0wmm3fXubT4Btd0Jtm4X1NYK9rQ/9
K+H1YdZC5fbZqk6xraPaAuyOK1zYE8I76oB5m1C98QeA93bjjRmUT05s1StDAatmwQKHLRbj8hRU
Ztnd18rRu1kqu8nNWgNUmnDi6gQWl75y8gEzYZTyd2kffTWBkFvAyPXUB7c97kVK20OWX1sD/20A
vjw3wxwt1V9LDOlkZslxqOLBy1FRLP6Jo3UP/lhcERbng8nst6ueSMxXUCIV5iZY0cMFf1Q/U7Ei
KgJRV1DHrSgB6feyRz3u+MWZTt00U3t3TAnXSJ33SNSKMM834TKnk2ZLGWwxxOWfu5f/vlemuMa/
f68cs7R+LV+HH98s07/33ZsFrY9tHdvUiT/Gyv632Ec8mpeHrQohLPXtpfNXfFT8QVZDMAU02Kzz
p/31WrEAUoAyUzne68Q+/5naRxT142uFFheD2LRjTBFX8tjvXytJDnth0BxxSoyxXeXwZjE02k82
y0JmNw96Le7j8QqodK0X2lIvnGtT+/eeHOM5oojBgx8vinQ4ovf7yheji+8TEJQLzYCvMpTpZ1Ej
0hEJ3YKU3Kg+dv+8ydAPS+KNbSTmYFuflbTNP2s1hXiGJ7tlZIbeaoQR2oXk8zy/3NEkB5TSCB4S
Rrrp4D6NjH1l7uDvDYuXIYqvbmC8lEJ77NtBnzP6nwzk2XwIYiT0Ito3DVqaRWn3w6A6z2Gdh/uU
GOVS68g5qnl0HzfyWR3scUt/xtYDBM/7EhhmoT9TNXdysRAOwr51y3UMAb1wsxIIQnffBOGTEyqb
Ts0eqlLxdzbrlYsTOUlbWBUqzLPh1A/haTKaFMNUYx8GXzOsBPTWQVAT3cmdPBVkAbYmCEdewMGA
ZqDf+sWxRBqp4yc66YsZf8U1L250Fq1dwC2vMHSUdDdFOkNb05tlVlVtWuGmOMNBvXvKQSRZt8lq
vJ5e2Cy7DF5QJQ5CRQAyWTuA+8hNkcmvJSPFRa1XeEVKdV2KMYDG3lwGx92oEQuvimtwHaSIIyH6
oUy5nmSmb/lEWO3yszoO4aJSOY1jLc0YhvbCcyGS2AfGtmeZu6ckNxciguKfDdGh86emG8iQ1kjJ
iInUIlX2FnCa8Dsgn8xFh1NYxibBeLuqQP3UhCps3rVDCMC8TsYLPssXJLmtrxD94Y0391QsDgjK
184W1dzWGKMUBjHQqJiDHL1JtYT0Ar8cDNp7KwPdnUDR4ADmHApFg+6XHTEkP7dJ/ymocNIWTrfQ
usFbjEJkMxztEV08WkJ3Xb1thzpbtEX80ISYa0aH8F8YJFevMo153PYbIALZqvQBwGLT6WYxRcZ6
COzdRvFKsn2W52eTBpUYo5mlSTQfxKO8Ra4dpHEbjemzpHCo1rpjNuqwCet051X1QcUiqycNBFo1
3zqt8zkCK+IG/lqYupwJp7ojEsALUblnWEmVYbZrSvM1E2IbEw7FE/OcVvJexNB55dgdTAM8f5Md
mzaGtxn3V1BaaxhzB3OKJY3dJnezrTYdCwcTJkGwgxkFsHkw9rns9l2lXlQAgCvYSgvPrx87LOZo
9+MqLOszyGZs9aO9K139xgrzPUWCGzMG9TrIhO7pVj9TA3v0cxspq0XmJm6LcH5bZdWDD9sdDNex
CcxF4A83qSrxcfHQxxLzdxc++LG9tvxsk4jQ2Q5WuibuMAUp66MB+34OD+hqoryxc7wmSotVTKU+
qSm3JIAf1b6Tc0eVcuHqzU0XWIembOnDsRFsOHc94tbZ2A1Q4aFe6P1I0xjytCHF8+i4604B+ep2
pJbap7RsNpWlfhsrn5024Y4RS1GoMuCZ2SM5uxudJOEcgonUV05msfb1BpEaE6BKKeTe9Rtag+Jt
XzfAljV3HwTB2Wzl3vOHboa0cWQ3iv7gplO0zZkppTwpqrsuMvdUpnGEJ6kHxaVqSwoXP4XUYPea
+WDEyknzoluM7GKBBfRzTrQXhuOS2MRe85WHXm3PhqadVAqRA2FnS0B+L7oixnmY+2zASTwV7IeR
E6xV2vghFvDkOWf7NLhJjfJQbuKM3ky414tKaJ/QK3cFWP8giMitKldSFdpcN+9sv1mG4fg5kvbt
aNX+IbWKfKv63k2epEclVekCLOTSHK1nLRdr2D4z08AaF9XCJNDb6xuaUniW/dcY2j9RhSnQBMUQ
86q+0rTcWqkhbZYFEVhuihxbJyKq8NVNlTSPVRfeFulIKYR/55XVhhCUP4V/PqVgyvnMd4TjH+oi
aLe9eYljhCSVaE8kIPUm/doys3NX+3ehOlYLR7QbRWK3GMm5VeI6So3omstXQ4U1VnGM3MO1bfTb
eEJSq1pKi2vZ0Velkfg2xLGSvO+XsgJ9vWy6IvxkYcJm8Rf2Xk85qiWESFZBIahCwTrBoY2nczwU
eGRmUBTL2TDkm7If1rafuhcMhgDK6zZdjkpYzPQWK7zf4vRrm+QzjPWlKdJoxRsGBwVm3kWuSzDV
7EGhDYA/BzAla14xrdvuIkkJTEG+Ky0rnDAmqXaI23MjKjVYp72ztKR8oAtLX6jgHJE5cbZpQWUr
syQSybxM/AOCfH5OOfk9RpqNV9MaS2XVOJ11rTqy/tIZccZ00nTIixChX+bdCOVUUw6Yb3ZtHl50
J16ZfbSE0PsJUMWNX0AjLXSMQ6ShdEnWGo74o0emaVLflqVG02cb9+vGxMNn1PXnltOeFjtPpmcc
2w4nCGeApKGy3qPmwajukIEH2AXBCyvrJ9UoN1iXzqrVv3qRsU9GviY3QCgMjQw8kvGYj9beDpOj
F0pjTrXtIsLcp+TIpw2vaIAtqNeld45UayHj7KaGljvDfLfNfXGw+nCjlSOZxXybuB1tRWpMfQWc
eREZV7dLbmnqXLTZMCySNL3jGJHOEyXeq2G3VVWF7l5tzlZorffFtvbctRID17KLvZ/XD8I09jLV
dqXBm9ZwVrGTf/GikYY0/9p77BQG1OzRC5Ylxl2rqF+TwD0oKcwnbrq+b/YE7b5AH4E9CGOKzuGb
UmdkoIdz14yGmZGITdCrt1VMHqlOiaoOU5MI/L4R57HX4kn2oilmB4ov0jZJoz8yoCQ9p/UrC9yE
gbGQrUUxC1P6CwYZP0qjmftgGcgV6Us3ZoZJt8dWyaNPrktq0xkv5AYC5FDtbui0lRHlDxkANcwa
EMcVWla9MmtJznXNsg6MU2epJ883YETUYskwbGl6NiU24RaGn7siYrNv4/E1H+g4zik2ZX2vD0Ln
ZvGzzpqDmoXQDQBjST2pc860bJeakKIlAJ2gVq/SpL4AJP9c8Y1VReYPAkSAKRok2SYYxJPV4RVy
WWlQfvtD3zsYNrrsobfGa66IJ10HXZWHxaOKCD9TRbOKwbki0/KpHU/buNPSQ05o1mZww/0ScryV
x8ccZ0/sK+NZ0cs9IDgSQFg+CJ8k37CHEq4ZKNvF0PxtiDmQt8WtD5Z1Td/RtrPxewx1cxjL6a1t
mY+9xoMWEb9ZlD3ui2IwT1ocnrD2zs3IDLZ2MFYHmBp4O3rjAdyuv+tgs7uVfGJmY26mx10Yk35C
ZdKKybDx5ASYnnPzqnV9eHCJ/jhavvVz9U732dFkFjTxrln7KnHlJD4UvgoU3OQUayXfGieTrOX6
0jecu7jOdmEd7eNWsM+ERlDp9eOgFTduD58ize1TpPmQPSKg7+YAIib6VEj3yeyNG1TTbG8ZxCcb
X2QrvTafxoRgSqUpU7A5Xactf7BSaKuMcA7mYbPdRBLrb4VDMJqT6lONW4KlOseIslTMpSMHU4/m
sSGUpa4B1oz+2YQb9gkDQfJFNLYCuGJy//4ABYJY7UnwhOcoZ2CbHquxn7n/A174t60iH+bD/3MR
oZmCJPqkELy/SOz1JXG+Kjyrw1ZJjypTFcW8q7u7706vlz+nid8jLN/PGAlnTJ/FJkJgTuNGGJbv
L+OpqsspQGXjrn/rsnvF+I1x4Cd/PogwTaWDhcOm9fG7qtyBug6RyHPacaPRz8zM9u/T9//b3x/o
rc43xBc1+WHf//19mwypYRXJ2eHcYV0s9/DrP/+Drv7D9/PhtzZFrAUKS+nZTNakvWMM+PbCxLz/
KqPFP74UBTZikgUsRsjuh59COr46dmMWn9Vog4ujpseB2Z455zWs5L9RH6a/9r9Gy28/+7ufhWnD
9wqKqoVJawspKRyeuwyxOHfVC9bUoV398w/1/e//4UOlduRifvjzQka4AIvaByveI9OrOP/NvTb9
pT9+KGhwKkQnhBsm5u8/lGHRIcOLNz1XxsqTLy0oAu/Pqde/fSp/djt/d4mPt9vIWDzzLTU9p85L
5D2Zyn9wO0PFJ8mFkKBZb7Ob7wwJUUGQzlT09EwZDGw9Mg7/weKFYVylqNfgsRG6/v5LSpWU/b3Q
svNov3T2qcHEpNa3//xH5yaGAGiiXWiTsPL93eUGSZ4O4MbP+OJw6JI00axrW0ILWYzGb+7knzyg
dDjpWBDovMQk8GGdDDyoq/DJ0nMwnamX4WQRXsLpyNhj3bx9rP+OPCeN9u9Fd/FSv/yvV0wv9TDV
qv6f/337kvJPZi/l55efKmr8y3/NPQkjYjoxGWDCfwTGwY/x99xT/UPYusp700LpAkr+d8jBsP7Q
4IwzFSVPbRtvBN+/Rp8GmF46hxhV2mhg0yD1H0Bx3j+86Gm0myKkUX+qs0TwBLy/LY1AU7oaz/gp
wAZdnfr+6buv5Wfvorc0479WoOkKrKr0TwM5x6xClvj9FRrGQpxJ+ubE0Wyp6/m3ITdP0oturLL+
VuPHLQFBLhKTdjBNSbe67W7KIlo2NhsJoQg848zyUrvcKJV6FzXBChDqV4UREYaNQ2OVlIXBepqN
gTxrrWbFBwLihXH2Mdx3+AfQU/gSSUIVybAysmEk6ada2z6ovG9srgFcJYGAfxnyCqNw5muhS7h3
I+u+SSgDi7uvPEaSrLMbm1+aoE9WtWb7iHVBsYet91aFdbZzhC7plI8uY68lqxj5ZtPsLlHfacQa
MsouSpKYTIL3bRk+x7p+sHTcw24yMAxsi41Ms02a1iNU3+LOs+TaGMOjE/jUCjIPU9QOsLHZf0ti
5VzTDTqrOMGtGsIHnJFu7QhKCUMxo3CRzpRNmje7msA1aMPh2sfOLhoBv/hMqrSa3mnbfvG0tpsR
tN74AM2aOHypoZijetKZCTVU+tFZwfoJZmQRePoT1n6CXDakXetgphwGSr09SuJbIjGWZQ75Ax8u
XC73UxSO9WaM5aX0snhWjcG+DtWnvNCn8sRoZ067NalBJBnhURijeRsaWKSCqg+WjRNuB8mh3orw
13sRiPcCR1gm4ufGhI2owr1RfUCEac3QAAIj/mnOcO2DSaiDSdZJVOKpqsdzHJKITHAuN1Mbidke
oY5tM7pe/T56YGKBydTtNlSWHQJd3rLqM4KN5IOeVp8ojHhAmVtlpdg5o7VS+vJZmDVjv5pTqVE9
ZXx4fWBOotCdG5O0xek8Lz1rYcT9geYgkO8FtnoTMW9WOxVKLekAX9jPPAWQOqIn3/MI5FZ1tAKp
w21TfBuyaOPU0dI08uemVJ8UhdOozSA4RhRse3euWvLzGHvXOKF9Kxj8QxxN7l5c2jNTse8CqsqL
HLAQ7SXAGhJqLTUoFUoekOIZbQuCGiH9MBTjQskZm1viNnLNxyavfArHmN/KfHp6og44E0eKJnfA
4nXFwgJxMPEFb3qHKUozNHLf+io8ImFUS1fmSOEIFMuuEie/1jmbWgIqDucwikuwqrp1uwxoCc1m
bS4anu+y9eA6DIo3zKKwDU99GQJKzjn5unwVYH5yf04wmnmUzIIFvUmEGRtFXdajWWFw9uKbzBGU
JiWNus/FlMAY9FnN1KSu+3Nu5tU2bZiaacZEuNeLagPOJVr6YXMAZ8toNs5T2lustdeP7nLsocQ1
psyXWV1kdPGG8mzTz0pGQamIsE4JIC//Yo3Dp9IzXuy42LC+HaNAS+auRiJokMrBi/WJ6QTKIhZW
T7wzS26ziSY602xPAi1Kb7q27NAxxNnEf87KMi8jc4GbuIH7l+7tAo2Z7mn+/901bUA95DacvWzY
+YW3kUYxoSIJLtcHaojXgRUcmQU/cEalQEzddRRCr9M+fjYjRj5VWHPa98ReI1BDEVVof6ZgRp+P
I12xM7PokjusA92qZXJo2CSojbFw5sgV8RKcZXkcnfhk6PkGdP9VK1AQJDOEHqc+dnRrwZKHAcBr
ONeKcisHJnVKfpfoybxJYB0uKnIfywEQo8ua0+w6VWTPqVkrrL/Kt6IK1MXQ0OPA5YAF5gLEjyHL
AYKW3W7gMrVrjPrDmqU/ePAKrqA38i5N2Buza3N3DS0FOxn5pxRj51wS+6eZlhmKmdl3kCEj/luE
CTzRKzphTc/DyVXcCW+4c1JrfBy9FBZxk1UrOBrEKZgc10C917mKpJMNRUY2Hr8RFafNYxlSnNA7
AxAjSBMBb6Wg3phtyk/cUWZAmHgxJNmTaPMt49RVbw/Lpso4jtq7uBju1SBatiGBK4Jk943U75ym
cPf90LfbDNzVIvMk7ZVNRPZAVZ/QI42F0ZvFYyNyBpYZBgAgbYj/5K8wDhiP+lQ0RktSD5GLUHnU
qMPy16/nH44HtDVgLp90WY7t2uTp+X5XSgJMGI4fpac6Zobdj1vC3teurH5z4pl03/fHkLfrTNvf
N/vQD5uA2gZP5wfpKZHyWAn9nlWJkW7yzHJZzrrBnWaMctMSapROvKn0gDoQsGF6umelOlgeNEoy
8gF5HVGoSyMAdAChLvW916wR1G/zCJijcxKq/5vTx0//5sC8wROaFoOND2cDK2mysHbj9ASzbOYP
hMsSCrh/c6J2f9yx2y4mUR0TFd8RN/r734FWLrokY5iiuU/luyLMrZGxMKhewXuDpMQU2HmEAZpd
8eIuBlfddk43iYk5C5WhXscoIW1D/TPsXvc25a3UZC2SCcA0k8rQuaVHBKUz/xTCwO09lINO57kR
CZm5wbXGG4S4l7iWFA0ie4wdqfFKE8tAhvEyro0vSqmv6HohimUwr4d+R36tQGKlWJJCy5ytTSC2
VJu8hqb90tv0hhOCnPW2PCKDtTPbHhTATl10pBQEGGnfBLSD1SGKJKQkLfQ/eY2W3BWdxftD8wnl
IXJU0Ac2QuuWTA/nxTTnGyKqDHNVPzNTSRf92Pus9/LgqS8NKCXL3rIuPjkK4hs+ws1A0ZgkJUV9
OX3aObYQQ1EXo8nWo+cxWyDTZIteSTZlTdgx0fpdo7YvkMqCLwMoVVUUCdi54KhnE4qxKlaM1V04
F/1NguXk5DYauLSx34MlPv76qcRt9/F5IXI8lcRxO0DzAjzy/n7AkZql/G/1ydb0l//L3pkttbFk
a/hVdvR9ETUPF90RrVlICDDY2L5RyIBV8zw//flSGBuEDN0tItonornb25BZlZXDyrX+QXOKaNSn
dbgypaxA0cv9ChYN46/CHSpmC+ALN0t21DNGBeNwN7BmiHGclTg9Nr16ZiT2Z01HOqqIjGxSVbI+
jwwolFsviAY1lVTQSno0UznUR43iiSKORDzCRkTJNR56BgnYyEN6zi1gZjUVVfc0I3+ZIXvd3+aJ
uXGAdA5rJbGojagfTfQAdZx+Ruj1jcykyIY55MNB3piffducN2v1DmYG4KKGbQDxZDNur9cOxl1o
NWeJdmXiyt1jjlt16hWak2eB715h9PAhspyp2ZWf7SDQsYFM5DFOH6KABJmxauqhLfzhNV8ayWtE
7LBD3UjMiWHqaF8UTfqsuHVGea/Xxi70vLpH+UJqEwi2+VTGQMnBZ0FNoAK69QgknjwETrawcp8h
qbH+CFMhMnetNenKsdt5kXQbsFy3GXZKsWWOcWI9w45uhFPJOUpKSys2J01CBdei8O3FFrwy7zJI
pWBODmCcFHBQw/UoSgloEnPLvYTFWEvOZZOV3z1LAhjVyYji+ZOyrEDYFUhUbcuhooBdKJDo1TK+
krKNxvq2HzYiQg0qdykB5QiATyUJFE3Ju6C0Ndi6pI8DaRFxiiOYPLMVaNgpAgsozaHJoo8UhVMz
XDcUjqg55RESJzigUOSRphirLHqITZYDYqtRtsKBiE23x33ZVxB1wdQXk6cZZDzs57Il7D2i3jKU
qEU16awLrVN92yxSAUEwEirMWgqLviGT56Y4uBfcEkIEtLRonCDaBGTjwjTGVtAQx6zQaTKRv9Zn
a6u+SWUM9SL5zDTyfNyu9aXvNlTDUHlaVCr2x4WhKDAS1/G0qftRStwwS7qyGIFVmeU1UYiVoMZi
retxDf/zjaPtjZW6n/1SXafznTSoVrgoQ444g+A6bGsUApvzID/Dx+qN3M7LLOWznUGo8D87sbGw
5nbBzpAk94p1V7cfamcZbz83+uz1TUiYnT0/s9mDRBKcpL5tgbkVJ+OTvFtTlPhrARxc9WjAjlOP
yoy3Vq+NYpvM3YT0a9DWizTFSyqhKnBmC7V3009wmvZBBzW0O6Re8V2X7cs21jDl1apPkpecA6y6
CgnfuPUMy0K9arcUf+JyO4lK72vs6zcS9kAftlVQwzV0kQExqoVBEY6SwLhTEHQjxJvGpWbdOKpz
lVJYJZNyWmnl3NPUBabhcyN1zpsA8iDHtkWhMVCFwqQ0kFy0rFPlJkrzsReu502qDCgG28CIok0v
d8YwbLZfstbJqRShgq0W2vaNUX2ebxFJ5ueDupf7DUw9BlVrtyu7/er23zr7jXzvW+3vHRyyFBIj
b4Nu5dlXqY8qoPbxjWnx+qww9+ZfZEaBHKjbbmWoFx4CSgyT7HbD1zsRo/ArZ/Q4SjbG9lAf8VLd
m3qtVTQuogzdCuNntbwtm4iY5KPXWm98jV36+1dHu/SXZllojJD8IjTd8ZKezPHO92IEsFJ1RRhz
y6E2ug4n65E0rgfe8GYQD27m1O6W3z54Q/dTO95QDPjGii5m2vz1F1ZFnu3Xgzy88dMDfy8AdGrP
wRKJbaSc1CN5KI/bq2qKvPrEGTsAWyfKlHGeKMN8IA/csTNK67G+im9ff4pdKn3/KZ4u+b3KTghz
11Zzxv0zAN4xHgAT58IanBdo9o2mN8ZwiSjA1Fm5k3YWXxmz6/VoO21n7HuDfopYSDEidTZyRtKy
msXT4hzyN2ze0adkUK3kYTc15s48WTSz/GM0uXr90fcMFR+nzK/dam8AJbXwUMz1mJcDrNUnxX06
Sa+VUTb0R4gBjrxxPIlOk+nF7XJczdE8bIf+qT9wTvEuH3L4jHEzvFsPP73+VEKE7sVnfTKg+254
npfAaTF5KnfuDNxhP4um62tMqYMhGHhzsB6AqByEUyQDZ+pXEmnj1/sX6+Tl9/y1jvZ2G7YaqcM2
ql3JfTK2mmbRI7pSY3L1xqEkdpXX+tnbdWyEQpGABOVJTD2om1u5nTXmt04bZzjySunk9bc6vMf9
fKv9y6QUsfkbmV+tXCRXO1BV28vjOti782mtDXIJmOwqMBaqTx7QsUav9/DGh9mv0EhRascW8IZV
kq4K9OtS9XOP/Mrrnbw1Tnu7aKEgTVdbfrlqxVfBuQHyyRsb9VvvsTfBqqQvqriIulWDNrUHfBrp
CPhbr7/HG7PL2tuVzPVW6kjOcRqg1607+AGGJf7U1RAJOtgq6qqGvfl6lwffy8BxW6HOIkDmTPgn
5wJYdW2demW10qPvwgFPA7FjTl/v4+DnedLH3qLBiQaXYldvV4avk7+/jKI3sgpvdbC3JfZB1Gp+
ktUrmU2bZHSghW8M0+58fG3hi2PtyTi5HkWfdcg85m4wyIbbU/RxzrgiDE9Rmx1vz3FiXLw+akLe
69W9Rrz1ky5Rs9CUUnU5oz6TGAaEODzb0veg2SjLfl4PLrDJ5R8GxjgaYmx9KQ0+lGNxql98yS60
U27t7sAfd+VgFg/d6VuPd/AgRw7mZ+iyP3O8vJEBoZYr5Vwc5NKgmIb6PFaGg2Cqj27iwSnWs4vv
8jcuZ/nHboEA9Ru7165c/dpH2fvutVRABHU6YolRPepHQunJHDiLcPTBWZlLbVqNvqiT9SAmYzvJ
p+n0bW71W49giXPxyUeS2gpx7CYtV9IiGbQjMpv+HRYzI2tR3bezdBwtrSmOVd+3X7RhOw3Okai+
f2OeHD56f34Ia2+eBLUW6UXM1Mwn7YRq+8ATUd08GF4DfZ3PAWYO+lUZDW7gJ4yiSTq1LqpBPqrG
7hzM3NfwjZ1ydzF78VV+LXdjb0hsyaE2FLOlZGN9ak4RnGkn/aRfegtlcAvbYhIM7Xk6I6m3RAr/
49gmOojH5TSYXHkjEST8CA7+V7oXRexXS/d/De5xsjngoSv+8rFuDxMWvBG6IWgsIHm4x4Q1IXGr
ULqBinE8/Krbw1dCzpCSOvJQumZxrjyW7c0TiEzC+9EEjWPAPv93yvZcUp5tg+LmohocTrB00YFQ
KbI/X2FF1RmITNsS4vmRPwyTee2tBUXPBFoo+BcBjmGSYGT4UDNkwdGoBVujgbbRCP5GCJGjF4wO
rKb9IcysZKAKvkcmmB/YrH5roIIkUEJSOTvrKm2OQ7W9hKWXj8koD9bQSLbQSSLBK9mW4Yd2l+aB
coId9RAcVTEUeWlHsFKoSxkDqvw3cmt9bzFonfhNihkdhm9KhMhM0EOllax+HDkwXqu0GnlKOqLW
3UxwDgCTj0crCsgVtPZ82gQSOW38KAZFFZ2iudd4I2OdQGIAKy2N1q3+NQ1rqbv0G3KbExS0GmTl
kqJMrivSGSnSsIpOljlVB5h/O5NUQT+uLrporMqVBfZUG9cUvuHM+heVzzHhxCGWdUgaV7J/V1rW
/VrG/HXtke3QylVYf1QL0obrDqX6xqmovHbJldVS5Iap+9UH/T4gn6COwRUjIYxfi7kuitNMjr9B
aaImFIcumUzyhwoippGuXmYBri8YfxnQV4NrmTJuYFXYrreBPGpl/XOM/UjkWQn+6W2ylGOvG0qW
M44t51zbUpcKk1WhFNMIhk3oWKetsf6MIbRCukbrUPPxJ1Wsy3OlIvnr8t6AyVvYQybAVTlE8Jzn
ubG3pXdae6CgU4YPSuZaEoyq6Bxg0XUoUPtRaiFHBZBf30H6S4HuD3ZAf3J6gP6Vxj7rISPJBcLw
skmKkbKuDVhAvhIaZ8jhU1hEIjCDTiBBeMgK8xI/3TmMumlQVzNX8A9qiAilHZ23DrS7VoXAClVB
j/jyDTwt36igqfk31JivcQmeNnAcIkF2cGA9tLAfyPovc9gQOawIxN9niqBJ+IIwYQrqRE8lFEca
yBSCVkEpb2kKogWf3B9UlX+PPQMiZjyb1G2NMW4ZaBfD1Gh7C3CG8VXNkcoWVI6yCs96uB0k11P4
ONA94NBeeVXzLZaKcVRc5xXpSSdzLrfwRNICnlfan8LS+yQ7foOOF5w2mCVe55MLhmviFcHXSJBP
JMuE+tbhuwgvBQMplIsFVSWDs+KslWQsRw3srH7VwGpBmvlGheWSFNIogfWi2sY3LZVh9Qk+zNY9
b+DHZDmYB/gyoSDOyGo3yQSVxoM1s4ZbA+18VQmyDXov32pBv9Ga9dIRhBwNZk4Y8mswdRpB2Wny
aI7X27IWsmaC1NO20HssQfQJdpwfUMnd0NwxgVwgsGgSm9svvjCBMXxOWcEckooZtKgvBYyixqnH
UO2mvmZ/LWEcRZUuYadcjjSlGpZwkvJt+rkTJCU1Ar/R6ObShr9kKxm5P0FpynPtswfHqUGsLBSk
p8TWLzVYUPBKL1VBi+r6+swQRKkWxtQ6zu05mjYzSiVTzw5ufDVYbuXio4WyIF608ocS9pWa4gMF
GyuQqxvsma9yQdOK4GvpEUsN/pYHj6sVhK5th0UHqIZZqGa47KkfmCSniSCBubDBijXlBkEPq6r6
c6RmyLECNa9hkCUwySRHWUiajLtlI811uGYynLMyz+YRHLQGvUFMTJbUgadl2F+WgqxmRRmopXzR
pkxZO0Iqowg/ruG3Bcim6pkxL+G9FXp66sKDUzT3Uw0vzoAfR/IkHKAeNakNgPEw6AJAQ4qg1PVw
69Zqvuzg2sWCdFfAvnOTYOGBPmph5TkhUCSQLwMlyeShD3NPr71JDJMPOunCg9m3O5L/F5uI68zr
scmy8oq/zr95RXooQOHPHwMUgIXEJoZiO6psY5tHFPITWIinng7IE6S6jIa3wBw+EqohTiOWAHca
SLDw3OWvHiMU/QRGNX+2U6kxNYqOxwALkXO2DRtXYNpjhe/liXMceQqE0rbnUC6QN0aE9a1KCGD2
ZzGQyPnZmk1DKEaBdOWlnsdAkZLIThqS3oITOY/dypnAQfDziRW1Z63Wmg0KXF0x7fH+GgNY4aBX
8Ou7UiE+owxfOuaZlVsOyKHtOjurcslGp6PSzOzMNCUUCXWCrC28aIXQpGjkcZI2MggZFHPHcCrk
adtm/RS/IBXnXlOZ5q6ejQEd+lPNZBuJa/PCt2KhARchiJts86knbZH03eYJcJ44Atd+Fee9+z1C
n2KiPbAy7EKWgFft2BpOyH+NlVQnSHJ3lI5yR+9Isza7LFuewkOdtQekRSXT/aylysJtXTLEWLMh
CxvMtTqbEootm8oE+FJKq8qtPxmBdp05xVUO124b159MI4oHtolbKMi5JT41462eLeE0zhUkkqDA
gt7atuaiEeZrMnrW2Kyid411mQyHrwetxHb+JfV9+J6hBVU6yc7BdvkzJ3bxfOOiawbdwk3RDtbx
Q8Y5Srl3wwS9TccZdwQkg9LxVED9GtDKtjWmeI73i6xLF/VamrZRgE67t51GoZGPPA1f3z4dZ413
RkVTG681ONJbN532fT5f594H18jCqR8b8QjF2XneC6+EQpnHRZujRQlAKy8XrtbiUdXJ5m1XBwW8
ZiqbsmpO2pSp2ireWNdLRJPtGJXF9bxNs7OGqg1aLlDQg9IegizDB3DrG1eG3iUDIDyQYXE3w7vL
UTED0EukZcqzzKwx/nJg3gaQGJNQvtfN6k6BxzglSIoWmoOc0sANDO8yjfE4VFrdM+D0sclainTq
BL4yLWz5Fh+peW9KK0BYH0tXEroZ5sDu8vE6sDFsIusR2Zd1HE8cXx35+XpM1W0YmU0wg307tZtS
HWUaA2/E1qyQ6xulR3A8BWmBRe7X3qzPEhlmpJe3p0YoX/Q0WiucwTZaLLoyrVJpoxbKvSS180Tv
l9pamjnWp3b9NbH7UyiA9sRAFDy3jI84UBFStt9qjB+q0i4JDgNwrt3Fdo05j6YGJLwD50u4Vb9o
XJVGeaMsHR2dkEY/xwkeFLI7dPsKx8Y+m2DXcA1I6KNOGbDdQtg13O2FXhO2o0PWDaIaingSzJHa
RYy7Vj6lkntt29FHKRXOHs3E2qbfVas9zRzptMVhGYtt8zTznWloYqBlW8UIhA0RZKWXH/TGP+X9
RJXxq1bhCdBpIeFtQgitainuy3obzECKqF8SGHWfCzvx8AzsujXGEMAk2rUFVq4NlbGO/vgARr47
yh6gjML8o4T3nalATxoBeaxTw1tVes+9KNxhIqsdPhLKIFjJTMAmbQGg7AWU0gVTKRWAK2tQlmuE
dHHIAnhZ6k7BZAbHUgtYJmA2HFlU40MpowWoZYA3t6ifc8/xF5AuryIB8ES4PAWKCegzAP1pAgLl
y2OlhEWiJQCiNizvs7UAjbY9XsmBmXzTUZAbmFkHtBSMaaMb17IAnRZ+F0y34FB9AUjtBDJVuM+B
VPVBrNq+CnYIDOva5CuDaQXaNO7BuNZ++d3Km/PQ6H0csxBK1Zrwi+pjMAg+NukkzOUEYFZBFmnd
oPpVFrE9wLhsWYCv7TpvCJ167GfqXYSwxTQFievH9ZdaW0NaBgDRe4g6lfokBbubBc1EBcurgOk1
qvjGECBfkt9XbdgtY9C/ZcZtS2r8m63bzT3wwXXbntXghbcCOCyH5ocSJLEBorgFWZz4+tAGadyA
OFYaSH0WGiG17rBZgErma4xjUMrYjCFgCW4Z6wnMrgWUuQTTTHEb3RsBc/aB3ioC+FwICPQ2tq6z
2jstNbMcooOLtY+7yARsWvLiC+jj5SzxtzeGgFYTbM4MsNZsNyOpwglSgLAj11qiMDHLQWcrpfHF
wWxqDWo7tYNzDRQ3IeugELDuSA02ki2N8D6ZVUgfDJCb38ggwRnrkSeg4dTRT3Ww4oUAjft6ceqD
Is8N8+uaALHGgUsv66s1ghWkI/oJNuQJiFn3QgaRvhbQdAw9vso6fj0qqHUH9HoGip0qTY9BeDLD
myCbIYctCOyYwYB9r8DAm5jUywIUjy5SOYkjWQFBDmSezArQAAGjD8DTx7ILTFm2z2UBtW/iLFsU
An6PxWQ0QTrp1hPQfPQ8pc+IUzFfBHC/k9P1QBNgftwTrJG6Q/g3nXpGUfnflPwUXLgdbo8oBOvi
F6KvSmAoURSvpZXvw17/FDjfdOONOsHLWsTzLvYSmR2z2AwqupAziPHWeZWeo/75JMzkHoFXQ/yU
8ijqNM+Tk6IPk6ySgQ6OsU8DUdWqixoH20Q8TNkcz8Ect+01QOfXuxGZ5/1uhILbjmUFtXIvabVN
fNRygpq6AHfGDMxTAeNdyj5W+oVQPDELSP/GAyLi/8FV4scjCvIQSvHceC+r+7z7cF+AFCseQ2vx
rxcJrIXr5D/7pdcb+sFaukYx/u9/29yhcUvyrsy925Ki5gOjaX73978pO1MXg//37HKye7DdU7/a
Trjh7ao7etDME02TQWVz8dj9ELKHSbz98c+SwqUF0WfbVgT2gL6ejNHvRuH1F3wYztd/5/cP/3QM
DARU/4P35wV/vb51ohoITaNZ9dvXx/wXRBUMwN3PnzAIh2YCm8yRM0E/UblgarJGGCl+uJy9nAma
IsNk+0MHQZRwjhwEjXIARkLgxn8zH6wTUvucaQLx/d9fDgdmgsIefeQgYOUEm02D/fqbmWCfUMSg
0KJYj3vGHzgU4qg/eiisExsuu0p1+GEoGNxni0JVT1SOR8t82In/y7vjgekgE50cOR3sE5mcFf6X
v9kYGAMU+HDoVP7YjeH4QVBPLG50FPFebIvWCVEkySztx2r5Q/eFH7v2g0rAzyDm34wVgGogiU5Q
8PCztxiIFSxSiAbBwh86CAL3cORq4ACQUU6xTZaE+NmfD5ShdWzw2Bv1P3hzRLXz+KGwTwyLCjkZ
6IeheLE5KifCOBfr3D98KN4jeKK2D2OeYHr3Q7D87JxQCDQdHZ+EPzVs0N7jrARCYVnO40b4Yjpw
Vqqo6SMP9oduDz/uOMfskbhSI5ugox3xMBH271NsD5RAhIHOH3GfOhAx/Pg6xw2CiA4Re//dHqmc
iCslXJU/9aAQANIjDwr7RGRoENN4CJJFTe/ZlkDYREgBLsl+2H7+vNhRf4jnjpsJpi4j/o9i3+6H
+fZ8EPAoQFeL2PJPjR0F7u+4maDLJ7iskKvDTOHhZ38Q2Bg15GRMkYfh59/YHv+FSfMzczV0yaDu
clbefXEotfW7X3hM1rz89ycZqV025tlvihzWQ+cPeSvx3/94ntLapZOe/OtjemnX04+///GKLzt/
1tnjez3+zxneGZv8Fp2kXSbvx4M+iAH9M0QT6G7zNJck8mkPF8ZfT/My//ZzHrzeeurF9/uNG3zX
x/93OLn3rzUebe6S/LGhX5lAMWeOfnKKfOWhB/95SBzx4MMNYmV8kuLxOZ88Ozvj0c8+TMKqePFJ
GXU213doHOPQzV9DUIeHuuAQO7qL0X3414pi9qHxJ/l/dPvj8K9RkjN5Htt6Mv6cdUe3P8nvi0P2
4eLaeXTj0/A+jh/befLgxKxHtz1DbhjB+PKxqV/NC2Wso5ufR+l97m3Cx6aeNP8eS3Yedwe+qPIe
K3Zxnx8Yc+GrfvSgLHBUPLARKO+xVpeb4MAaEhmJox97uSmK+0Nj8h4LdJkUf/0z3t6H94dG5j2W
6Nnmjg34cRyeTMT3WKJnm9w7NDTvsURF22lyaHcX/M2jP+vZfXyX3HqHdi+BgnuH9vPb+7vHhn6N
u0hGHd94wrM/tvOk7fdYpmfJwTF5j1VK069Z0OxitiOijdUmPTDRhWft0QO+uq83L2NHA3LJOzR+
jvrI9sD2JbLORz/5Rbi5vT8QOwqS/Ts0XkWHgjuhr3F04x88QsfCuzswMqLmd3T7V5vbnCtBfJBi
9B6rFPnR1zlMx074hw7yeJPfHdzIBP3+HYYp/mvk3W8PRBzae5yv4iUmrIBbr7g91Md7LF/Rx2my
yTD6fhyRX7um9h5rWPTwNib8PT742aa8PzRO77GeeYs3BXPf4R3oYxgeluR9n4Ut3mKYV/3Lj62/
y8J2NwfvhPp7nL+v+n8ePfjwkjAArg4MzLus5STcHIoe9HdZxAQm0YEDXmRtj9/lyg12iOGmOhCH
i4zo8R2INMuBc1h/j3V7fe9uDg2NSGMe/eTXxPjA4h5b+rVxGu+xWK8rdoIDR7xAuR3/6BUJouhQ
Xk4UfY5u/hMtVIcuV8Z7HLxfkvDAPi8Evo5+8C/VtwMLCbLzW00fSsv+hAe+TNY+wv4O/dnzXLT4
jdvwfpP/4/8AAAD//w==</cx:binary>
              </cx:geoCache>
            </cx:geography>
          </cx:layoutPr>
        </cx:series>
      </cx:plotAreaRegion>
    </cx:plotArea>
    <cx:legend pos="t" align="ctr" overlay="0"/>
  </cx:chart>
  <cx:spPr>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B811-44E9-B21B-E346FDA8A313}">
          <cx:tx>
            <cx:txData>
              <cx:f>_xlchart.v5.2</cx:f>
              <cx:v>Sum of Quantity</cx:v>
            </cx:txData>
          </cx:tx>
          <cx:dataId val="0"/>
          <cx:layoutPr>
            <cx:regionLabelLayout val="none"/>
            <cx:geography cultureLanguage="en-US" cultureRegion="IN" attribution="Powered by Bing">
              <cx:geoCache provider="{E9337A44-BEBE-4D9F-B70C-5C5E7DAFC167}">
                <cx:binary>7HxZc9w40u1fcfj5Uo2FxDIxPREDsqpU2hfb3e4XhizLJLiAC0CC5K+/WZLt1maPHDF+GMcn9xIy
C2QSB8g8eTJR/7ye/nFd3Vz1r6a6MvYf19Pvr3Pn2n/89pu9zm/qK7tX6+u+sc0nt3fd1L81nz7p
65vfPvZXXpvsN4Jw+Nt1ftW7m+n1v/4Jd8tumqPm+srpxpwPN/18cWOHytnvXHv20qurj7U2ibau
19cO//46vqr0p6Y3+ur1w2vk99fvbowb+qtXcTMYN79+Bb9qN7+Z25vfXz+4D3n96rfHj3ti2qsK
rHfDRxhMwz0ikKCIcnn7I16/qhqTfb4cYCz3iKQYMQRX7h57clXDyB8w6dagq48f+xtr4dVu///0
Bg/eA6bj3/95Gq5307FDIAMwfn/91mh38/HVpbtyN/b1K22b2/nq57jZvevby9vJ+e0hhv/656O/
gOl69Df3YH48t//p0kMk/wPKcQNvswPZup8BtdhDWEhJvwU1IXuYhiLi+BHUP2rX83g/e5cXgP7s
uF8M+X9XsKc+/gzQ+Z5AoSCC0bv9zR/tbwCdcBJyBp7j/vb+AYueh/vxDV6A9OMhvxjIa/B/pvkJ
PpztcYpZFIGzvvt5hDH4cC4i+IOjhyC/3KLnMX40/gUQPxrxiyF8fNNfQwC6jTr/1SjN9yhikgkG
/nv38zhKE7QXCiw55iHa/eCHOL/crudxfjT+BTg/GvGL4XzU2Ff/NtlNdWN/AtjhHooIoSKMngcb
iz0SUhoC2s+B/YPGPY/4czd5AezPDfvFsL+8Mq/UTW+u+o/6p3jzcA8DIceC0lt0EX3szTkw8hBJ
Lh9u8h837Hnov3GfF6D/jZG/2AK40ONNb/XHm5+w9emeFCiilN1Bv/PjD7MxCAScI4Ifg/9DRj2P
+9NbvADyp4N+MbQvr6574ObG/QziJvYiziTkXOjO0z8h53gvlLs/9Nmw/mO2PY/6M/d4AezPjPrl
cDevEn2T/QzYyR7HEY8keUzjMN/DjArw/Z9D/1MP/2KbvgX349d6EdqPB/2CYB+DaPQzwObAzEPO
5RdIn+xxSMCJwLDLH5H2XTR9sVHfRvvhLV6I9sNBvx7aO32tuvopgipEaKDmkqJvpWp4TwjAOwof
JeOA94+Y9U3En9zkZZg/GfaLof5maKqhNj+DtXFgbUDJw1De0bbHrA2ycyoIxoIAl78vsv2ITc/j
/eQOLwD7yZhfDOnLxjQ1bPD/eq1E7IVUMsnJXd79JDMDLRUCOwvB4T/E+eUWPY/yo/EvwPjRiF8N
YXdltK2uhp8hv/A9FiJOI/Y5/wZh/EEORvAeQjsBhj8qk0Dd6Qes+gbST+/xErSfjvrFEH9zk1/9
jD0doj3MGQPB7Rva+a4+QkMcMkyeE9tebtfzeD8a/wKsH4341XAegJb9jBjNgJahHYbfiNG3de4d
MYuexOiXWvQNhB++0UsQfjjifwDh75v44JV3JfB/f4mOzzQw/Gj/AoihUciYxN/GlWGI2Dj8vMG/
PPuui+F+08UdM3vOpueRvT/2wTveveL3J+XnNCd8u3HhaxNIcuWuVrftI/d6F75/9fb1oe3l0dDP
VPa5Cft8afvx99cRSBn3QN3d4wEHvj+Ldwj8PermyrrfX0MTCmjiu3oIYoREUMiEG/qbu0sk3AtR
hBDEbAGrYJdEm6Z3+e+vQwL9DhxKZmgHPcECwrVtht0lSvZAZIW0HFpfBMRxib+29pw11Zw15uuE
fP79lRnqs0YbZ39/jeEZ7d3Hbk1FkYTogKE6x6GPJiS7xK69vrqA9qHdp/+fW2jTdsMwnRhP5Wr0
ad6qhha8jEvux3MWRPNBMY2mXCFUuveuCce3ZWinTllpuj/uzd5z1oCg8NgaqA4QzqEWCJV/trP2
njWhmdtS5sN4QjqDT7JyMakaeMPyeBpdI9Xow+E9H9tAq74Wrou7oi8zlS6Wh7GQ3HyUzqFTuEc+
JKSq8NslCgTezCxKb/Ac4Gn9fYsJsOMnFjMOtU0iI44EQY8s1jwHbGd3QqcoyxI2LdXbMZSCrh2f
m0iN84SLRPNUqIWzWau5RHRTj/2Mk35s3Md8shbHOmijxELf1qhcnaNR8T4qs1XWFPlZOciD2src
JsDt5Tubd4dl5aNppW3AjnWfj/Xm+2/1FAYeUsQBCAZrg96+9D0Y+BxkPmgre2JcKt81mcBEhSWB
pdGaYTrzUy8v2xRXf37/sbu1dn8tQlEQ+nc4lQTWIvxnZ9a9x0ZoysLWZubEiAWf4DIfToztYy3S
/N33nwTb58mTJCKIh4JB6Vk8WmetCeel6/PmRLQovOp801eb1ImZqLLNV6gbqiWmaBZNXNDI1/9p
0ewWxcMXhYVCIiDi4P7BOzx6POdU55mp9QnvyuiqLoboqqx2NkRLbVesbxo1I4B+46vOE9WVDb9x
lbRbL+fwaGK0RzH1RVPGBTf1W9q3hCa5mOebNhjbBAVLzeNINmG/H1G2DOr7s7drvXhsP9+5Dcok
tN/wEHzafaAQGyITRWlwjIe0vtK9s5nCQelMqOg8m+zA57r8kAnZHk1Ll69ZE046Jnjknxxfliae
84zHYVOMN7qn/OMYtTk/+L6RYfQEZBpSWEQM6hMgUUYcyNF9K1kvNOpzR4+LsGtTKRIn82UzuYnK
tRuHIe6nDp2P9RwNKs9zHvfYbCzp200VtiQuq66+aKuonhSvfPaHL+pmO1vnVBt17VtmS5GknUnj
oSkKrbSjhVdpYc2JbwN72gULXWUZloUKltTUMRnzej9irrogRXaWzYZOqhp4d+LS7o0jdUATNhKY
SD0T8A3hsCwKeVEcVXkk3qdoCA9yJvDRkk2jjD3KwzqGRae3gejnWvlZLAn2UZAsxXTd2s5dDijg
ufK14+vUdsM2TAl50+XYl5uUB1irJS/TDyAH9qPSpgv+GmpeJ21rybZsTLvFnaw+6rFlsO9pXV5q
mU5cjV2YHfRpP8QzzMMGh0Sedr6eVqHvuzXGEx5XFTTqZfHoM9HFI8nTVW1pnwytPM3TIEMJxo3b
h1BDfGxQwZRwvPpzqlF+SHrZXkbURZtBFgFZW1YvV4I1/cqiqVjWYymydTBN6IrYyn+yWdtG8UIc
GpTJyJitJ1c0sDm8X83ZOIh136R5Ujla7xv4qJIs7BuY6HrkqrBFEcQ89VzxJpoWFboqjakLTL3p
WbnKwmFG557iEFphe1SpAlaSW1Pnpd1MlE9HrFyWKj0ffOfqWs26mk3/MU9zQpb31gcTr3Mle3Dl
zTWZ68LRXg1uGFp04kpXl9OB1N2yGeXg0m3da92qglTNJeIB3RYzpUM8AAapmjskJ4CrFiIxaQrx
0FWl71as9BmK+8rh9DTvEOPNfjlznyfzVEl3xKyjsKJ82mDr4wFi4ZoFeZGejrB1WBZ3ohWw4Ghp
67WpdC9V1UHwSlfTqFkcpMBcIzWnyITQ95nWdZzLwadrX/GqXtkUWME6Mlm9xGKJwGMaUoZDXOd9
UKnRzpk9szqo61WTafEpGEauUYIa4jY6FIM4iYI0Sw8M5Y5HRWwm2y3zvkXg3fJVm+W8XqV2XLq1
7K3R67li9byPrK3bOCJzpWM+RXO16XWngxhgJX8Ebb3gBCrUZZ3Avyg4rQoUWJhyY/4o6lrWW9pL
V63K3LGLZXCUrougIfgw97nlRvGc5G6T9mNrLiEY04MiW0i5HlqwYNW4KltWAk+LjEUxt/64FjMs
7QC2Sp+kGA8HPY2iKslSmg0JNyPAqbkFfmKWgi43VQkKXSLAgDqhc513W4x0uJ9pXrKYlGVHE93o
NFmGtIxU4PtWnhWpL8KY6q5YVN0WS3CI0ipc4zbNIjBX8naF53xptrnGPluVMsy92n1OYamlgeWT
0S6evA4W5SYd/NWbuZkDpWEfkRO8GL1oJcYwoG/mypPhhLVybhIjO3ccDQZCUmZ5CQNkTWG2Up1j
837BlckPurmuprX10aIPscvcm7Ag0VU0pXWqBIbFux7MxOnKskWD8QMu6qSiXWlj4dOVxrp7X3kP
zKLIivHSRsx/aPuc7o/cZ+lKlBEiyogU7hNVTTGtTT/ik2VqaXhuXYTfYBfAJzwLrIgdnvm0Gkld
6P1+IsRvDc8sOdUBl+8M6naLsyg6u+GVze3ZNIdOxKjzgE3uDRjWWHC6hxDB5DsqEKzuGrxkn0Df
2tRsnZUpOSv6oSwviDAy3E5h4YdjN7kd+czn6SwqAzatGl/Do5tmWUY1kdotG1Ty3cvvTPfgn8Cu
tsYnYWTgLYYugqnKy6ZcYlmOsHXaKiv1uek5bPl+AFaQwTXwqcSZ/LTD4dwbRdscAdy+n4bjOshb
qzQaumk9IY7oah47snMasJlieCNwIJPEO57sTP0uJVQeiFFroUQelbAu5oxdeUPBjKkv5gvqJmQP
M6C5xWHTmrK4FBAtNtYgfNLJrHsfIsI6lYe5JgeNyORwmOZNNiZzzzsPBHemm5bAtMaId/N1WZXR
2TRY1Ox3aB7LPzyrM7tfp0H9aV7kzoforsoTyAMEXWky53bdslr+EaC0Xte+zTrFQ3Bzc+/zC904
eyjrsoiSiPQkA7cXhRCOciLf9UUwZquKGNgmS5BSuQ1Ng7ubGhzyfCAwLKmV33nsVREFMKPTuIwr
CDK+O8T9QFicysqNEGnpiIB6d8VfvRzlm2AGmn6wSNfjj86a2aoaYz5utSdwq6nG+RKHPmPZtgVY
fByUkq2XZhzd8TTz6rIYbacEt/thPY3R/uIZgFMibJdNW5VNc2zYFB4FDoXNKu9MPR5ms2/zWES2
zt8AE7EfkTTgRsB12lGVufVWST+KDqLA3F1WWYf1n7hZqBjVAgxsfts6Gki4mU37Vc6DMjsI0tZ/
yDMUjHHFLSu3WiJ8PtkgXTb90Fm90ssAi1QTV9CzqayW6KRmbVWprh0ROw5xHk7xDOzGrnzeAmpe
GJ2pfuE1+A5rqxWe6NQnY0VEv1lEB6u/DKeMJ3M6IxunrWXdHz6a8Zsi72GtQaST72Ct1/bMSIPB
wZJWFmtR58yraXhPxOAFVmU58rcRMZ1PfJS58DhMKzFedKmVPQR3WNGrVlNAExKHeTrS1JXNEe/b
nJ6RCVVsm06NhPeapiA7Lvug9UltU/AZwMYGd1xVKdjfyzJb21yUeeInhLZzF8K+nxnjWoVpzo9v
Weln7eLsjuTfJeDXTTv3Oss/H6/5+uu/3jQ1/HN7UOPvv9ydzvn7t+Mvx3q++6nNTbNTguzjD+2s
+XovMOazdTv54sEvT6SUb4gld6eEvnHx20rK1678ndKAEcgLwMTvkfgncsrnHvovKtfDYV/0FChh
hLtmYgEhXYSUQ27yVU8h0GEG0giilCCKCVz6rKdQKHMiaEWCXAX0cJBi4NIXPQWaHKKQClDSofQd
SkJ+TE95kjvDYSTCoCuCA+VAcPzoYdYhpqyTg8iH00K79kBUMjzuzXQoTNXF0dC/Y3WddIUr903D
q+Umb2wXnA/zDBxv0THQi+pc5q1RrpzPXRYeNLZu1l1ltcLLDLpAiYONrsZQhW2+zsox3wL5RHHW
pqEC95DlsRw7s655Ww2Xc9a+l/ncqIBx4AvAAIq4JTY8GKdgOYhaM+VpPItZHwxVmcwkDfZd0H/K
pFlAkkDpZsYNJEe4lNtqyMZ3rRTikGhWHgtqgPvry3agebsS9YzWLRY6GfsAJXyUJmnoQpOq0kQR
JsFdYHlY8t6tugzHkSNuHU3tiYjyUY20keuxWiYVpA4oRW78fu/tCbZWxs5073ufHc3Yr3I0J8SS
YxRmh35xuXJFOygNrlAVQsR+sMPKAMIqSwO3godln1LfsL/mpRjTdRd1uYKcCOhqbvG+7IeLvKSX
okBm2LYsD9y5xqbbh6wmNl3O9rtotuaSOSR7lQ8pHxXlabih2I+FitLoU5kOfqvnZtgMpiyTpTZn
c2FPWNgemCo/6RA5FC5YN9YfBDVLmgVcTWcUKpY40u1Hb8iFdvL9T3Ex/2vOI4Id/T3n8bWb87H7
uBv4xX2AHBvSCIROkFaZuO89oIENhDwCyirI8VQi9rf3gK52LsGzMMwkFE93Gu4X70H3QhJB7QUx
HEGxjYof8R7yibACghAB3waqLCOQqDySLHJixmgcKDnum65r+VFQBXNeKWiptjVKZFiUp3IgtExy
lmJY+X5Y1nieMVez09GpqFB1OjRdAEn/FGwjoJnHQxnMiSfWHNaprC9navzpMIXtERxIbK6Bt/sD
UvvyMsS+PwRJBpIGN/GblEBq0oQiXeOij3LFO9f8lUOZUapglGXS+1aFstqUBPtkqUz0YRwZ/hRQ
vVwQy/QQy9w0ysy4UtBupJaWdclECqIiVNSxznl5VtdD+oYUMr8Y2qDKL1EBmqfdVBx3y3Zp87RT
PQURfEowB/IMDxzQOBA1gpTeQ47rRTNfgSo7nvc9Fh6ppidhki5sRCeMtcWqjiBxehsUS1Srbiw5
jyfgr73yPeRfKhrn7q9yGOg2HGu3WgghCV+c6lugjK7tEmyiPEFjL6PDsaX9VVpoRlSdz62CUh1o
XkE3sjmetaEUPKUttnPOuIR9Hl4s2I58n4wRThpeXLuiyg9altLlOCo6txWd0OPFUgi8nvvILDTO
YWFCSimBsQZ3cu5/m3T8D3qE79KJr02Iz3gEGPjFI0CVHEFPGwNKd+sU4NI9QgHFdSAS0BMXwkKC
7fg3odip/VCiiaDf/a6s88UlQCMs4lCujTCVmCHMfsQlPKkvQIWHCAFiMbTOczjR/ZBO2MEPXc1m
f4qasz4LV3PBk3tu8jMjvV8Cgve7J+aKCJwd+L0IQVMfhyJGuJNR76nuzPOSDnwYTm1YHGj+LkCn
Mjq34T5Oz/x4YvHq+88Dr/gfnriz6N4TySR6DRoCUKR2CJQAKi/VbBtSqyZr7LnvG3Ewuqg9YWWU
KsvWrJi7VZdOabRyoGauisywvyYiyZZR4A9z14YJtg1VVORHUVO9M4KUcdujj2NQfpJT8KdZoESG
SQhCX1iA4gDnrs1cRYqSXKz6KqhVnelsPyzZxoK2tI5ATl5nrW426TyZWANxgrxwoCDloF6Bc7wM
vIjbQV+IcTyUEW0U1+NR0KWAEqjBdSpa1XmXhDNVM/PnaVqBOhzQ/abBZ2NOFRx73Ro0aFUW2WEj
sRpo8LYPcKZG89e4QCbGc9BCFrvCzm60CzdhKw5yHU0qZ41fByBKbUB7OG4GvlzyW5LS3xKWZsdd
GJCYYsdmultis7SggcdD3U/NaZWFRw7KjyemXqL90LolqQfafSiROGLMHwdhfdRyvZ1Kf9zL9CRA
5cm8sD9wJZnqgkAqOKe97om+hqrnxypoopWPwuOpDQ9AYUjGsj1yqV8Nw7ydqT5DSxebtEv0NB95
yNMGAQKsW2rgrJE/tCP6oxvIKgybTNVmeRtVE2gq9Vye6MGcmdJtBuFPyqU8QE3J1dQypErXe9VN
wig7lkiFc7WyBX/bublXRYCyNanbYTsM3m2qlNhzobv5qIJy3NoKcljVH2XgT8NcXNihxwrnlYMC
QA+qWn2QVvpsMMGlH806DwCWZqpWQkvFa/eR58OiMCvOSeZXcqiBGk84gXQgCQtg60OTK9uOMfPh
xvfjGoVp4pgA0QAlTdNcLiY8q9Oui/0E2TwouOPFNOcXEMq3vR8SEGP/DEsTTzzq37QooHGh+0+G
jrCa5IZ6o5YlrRRUTmNcjjfIZ4dmYEkX4iIGD7YF9YvFlOoVC7zCaXaW6/E4jArgsfVmQtGq4iAI
Tumhtc1+H43KLi6JbHACaVtCfLAFR3E+i8ypVCOraAiUWdJ3YW9jAjsk7krjlYmqeb/0UbXtK7Nu
dTZAySc4KO3yxrY+V3PlTnTfgPSBkqIYYVmnhYwHQa7kUFwVXBw3XVWoqQCRyNt+Vqn1dRylo9i/
dTP/F/QQkMav35PxJIeO730Pw9O4txv7Ne5haCQIMYUghTGFhPVB3IM8OYIiPPBQDm2jf8c9AcGN
EogTBAJShHZ9hH/HPajeQssEYRD5GMfyR+Ie1EMfRAmIR0C5b88FQ/0c/uy6I+5HCVnzRe7o8Gk1
aighxX3XoINqwuGBWaDiFhesfjsXGVF8Co6EAc9TRPWofMGS3ARIYVe8mTJ3WIrpckTT0ZziQrU5
kwrUJZAJ9QLVF/fO1/MJr+k20kzRKm1UJ+xpO00HrB1YPNXdVi/gumtroY6SSZVyOW16Sj9R2Cmw
hHf5nC7nGKQosurLoFOLCNdDUYg4rKAqJW3+fmYpeIYqnFfSzXWC+vZNyIYB+GxAYuC8MW0XFM/e
qTDrxrg36R+VxIkjwC57a5NI+w9sKFWRdnUSYX7dFVzHI9N/MlB6FYT3LZ0EyL6aK6hn/MmycCN4
u8Spp+tc9IGitt4nbIySsRH7dgINYg7HHsoA04e5ST/UbgKCkXcqgh4PjaSO67DclOW0FVCoXuPJ
99CtEDRKZO3HDIVRMmHzZ9tEhYIATJN0cDcsJcuJLecr3Ubp4RBpKKhGENPzjK0CIzCkBbxPQijH
xXon3DZ2khvvy0McdeN7IceeqgHaY9ZQFo6XkOtVmPJmXc0UxRVU51Yiz5HK5NKogRh7PCMxJSV0
UqxFo9skhVQpdrCaVW/LfBVoKBnOSKcrg6w+1KipNkJ6d0micXnnlzFPGgQye2krdDyzmq8XX5bv
m34kQII4+3O0dX1he9yd5YzorcD9dNTJFOLbXDUHuzRiUEEYFkepN+2uCgSRrV8qoiCypR8moQMB
smXQbQ1B5yUE+FWe+/YtmmHiNyn0vvwVFDL7FIpqWNU7zcK7eViVIGPMNYHump2yMe40DttDfQVE
DzcvMOt+1YEYYkEUgVKYjINuOOl3ekm6U04gFZqAR4Cawne6SggCS7hTWjoItsWt9gIiDJQPM1Xu
dBmzU2jYTqtZwhLylJ1+w3dKTnMr6gDJ4XcqD+g9zU75KXcakIQi5JbBgQWV7xSiQIBWZEE0mnbq
EdSokmmnJ/2fMwfeHaFdP9a3nfm2bm96fVU9deS7cV8c+U7SAEUTSRxBlkBDoNtfEhjMwF1DDyF8
iQr0atzvMKMgXEAbOGQ+Egbe+fgvjpzsQcElEtDXQe9U1h9x5Jg+FTUgtSCgyEYEDghKuUsH7tF9
nncggAbdfDzRtsVrDDyTH7ectukntCwmggK2Q65pFdWIL/sNK0vgOilQhBVotuVFSnKfCJOCKAgd
JLOijFxnsPrjRqZXPS4vy7Ssz+ayzFW3MLKmEZBoiG32uGHsU96KAtwEOCJsrF7nkO+vuNX9ykHm
o8YaR0fLYOttYCrXKVyWZo4nZvO4gCzhpEWYqlHLo4K58lAy+FYsoDnzuo9kq1xX1qqqURvXEveK
VViehON8UEb6SDQuPax1Va7LQJbgtiACK9j1larLaF5PkucJlNtI3NGpBD7H26SbIPHoxGASFAbv
K4ZPWzaZAyCdbzDLUZLWIVRmNWvjTM7BSV+wa28qUDYajjfgij8tRfEX99rWKhxxvfUpT49aYKZv
+9qlCfQ7HWeWNtshL24cFLbfkz5H50vlmvXIqi7htiLQn7YLAyAAy8MxSPGKeRQchO2EjiLoMNzo
nEQq6wd21HN+LqqsuKxxtfX5/AY62IxqQhNukGjOOasLJdPexDshLskbqKMuJcdAXz1W01wGRzgf
asXnPo/ejy2U0FJEy0OXzthtsvpW91r6nvWnOWA3Qn1cH89QNIbKeAbktosLuBNU4mXgTlshQfMC
xhJE29bN5E1AhkpvyVguB/1o5Kke57ZTzSIgyZAwCempTJsshi4l+WnEsjwijUwwdDJcQlTE012G
/X9UdKcVfNt7/X2m5Kn/2o384r9uj5gBRwEnwe5441f/tSv2QGsqqLUR7Npo90VPXwQY+EYwziMi
JeIEGOfu0hf/BQIMHGPcSbW3J57YDwkwwIcfE1HotIVDM7cnH2Gx7r5M7r7/CkRAy36qmtNhhn6f
44K0UXECVaaCrJyrqzOuu9HFdRWdRG13NuTiOsxyv+pJ/WbEVQPpX33Ukf49JKAHlTUXutaJC0ij
aJEeA6E+bifo5DPcbzI6ZgnQl6Mc+T+WwtxIbSfVjAS6d0rWnEcZyL01CBj5UkFilZcJCSH/qlxx
7EBJmZgIk56OBn8gAeRY0H9VrX02CryFQ0O9PiAlc9kGKkghtJaN4M2gp4QWDHQJRFvFxnbLNa83
HZcHrBJL+IamDuqgae2LIZEyy8OjvtD2feFTkwwjrcl6HEaoZrihOOTWsCKuZGQ9lF6gD01a0Rf7
peHjsur6DHWgx+4qQZWfPgwMOqN8Zf7gbTTELvcbMcp+02p21aZNmnDfTeeFqPyaDs2xTlEXE+tC
4O961S0pUrmkqyYd3xKUvgv6Zet4cDHyOjaj34azScbAHU0+OpWg0CrRMugWIBez1Vdt0BxC212g
GjccD9xA10/Q7ouct1ALxhfjEGyh9XEFisUJkN1PBFq26sDvY+0OoH1hP0u7I/COJzWZToCtfkD/
n70z644Ux7bwL6KWGCTEK0NEOCZPmXbaL6y00wYJhBgEAn793WR31q2uurXu6vd67Mq2HTagc84+
394sw0NU1gdPsq9VNKUlDQ+5W9yychrirm4f63aNw0akdUv2lg4PveGpP9sbyYJnFTIoyfx7xIdj
DaIk4QpDhIw+G1dnQc2uvh0zqzmknzVx9XDJxXAXoUXvhzUNR562jps1YXldtboF/hlHdAUyG6DD
955Xqy+TJ+NANVdcy6SVdgcu+ipzfR386LT6dDcac5RU7iGqvHoUK3hhLq1v3grNZbZd+iKMvgQ9
+GTl7jmbz+40mHiMyHX0IMB38toz775bbGJW5yst/ZsaTS2wRp22lboZXNQ80CZR3n1EwZBMTf0c
yvKrJuWDKZ1d3tIzEiZ23qiuRE51zBb3bIP5DXK7SYAGpFXjnvNpPfLQTcBynovQ3TliPtm5vMFm
FHTF0n/0ofcwRfNDv1SYz4qJ3kNB2QtmyyvLg8uCKeS2r4m8UWA6S4AO2nfBVODvRefuljB6ti5u
qRFgTz0NTtIx26btEP1YivlKZpUGyj+HorifO8PSucWWs67D1O+6VyMX3H4+AzWZ7+duWnaOn7+u
fX2x0VwCaRi/VKCdfMcPwUSYIfM0gCu3atDtqCBMnLKfk3Zymswr3UseBA9BL/oEEpyJ5YwrPklA
YK2zHwKQmZPUh7asnMQZQrnrZvdi5Liv8mKDfQGLYv2JuwNXy/NMHI3DXQeBMGmC4eT5a5+UywDx
S9wGeXX2O2fv+jZTrLu2Huq+7dR7GyhcjNWBGjTYVOYL/liG3dOa32jAIWmvJRRQtFsg7meTOHJM
NPGixCsxCErRntHwjFDnnER5+psBZB4vnpoSR63X0fUvcyV+ML8DEcu9Q942NJ5FKeNGTg+s8Z5M
xI4OLQ7cGWvMfU2bEGEvNHKXeApwAiinbpMICHrqdfkYW9F2OzkuZ925Nma+uAVD93ViGNvLcv5S
MIr7HZRr45hk4tVtDkwyKTtVxX4vv0aTapJIlFEcUMeeV+3Xp5KyKvlncvk5uWxl8O9r/7+y8v5a
938msf5yxvDfEBaE5SmKT+iTACTFr7kFLUEEJ4AHVOPXduVX3Q9/w7YFHgHMGWHwn84YCsgDU06I
PQbx3M3J/ItZ+Q8wB26g/2MtEoZ/EaA2JStiGIRcGlH6sy/4w9xSKfTzs8nDaz4Px8J0U3Mx1ltY
ItXUtlsrPq57bjGIqFIV85OONj5BR01bnowsX2Z/eATluaTl0EDsNOMeo3tarQUOANJ4mLdrFutI
vmFOFLHfUJEtzgC0CwCWGzGTsNp5AVL40Cigc6N2q3sTtuUjOuFDZOe4CfMxqcG3FkQ41ypvOETx
qct65RQvS2vKuzwvBbsr6yW8ow3HTBPYfPVjhkxgndJckeYLA2q8y/sIDcswu7kBtz6U4mkM1ACM
u7LPlReVfjpU+oBHVS4Hj/QXMKlHO9IHWgRLmofNE1nrL2Mg/FiX7bvHhYpZOUJVAtHSG5lBhXwr
Nzavd4IrG71nNs9PI3YZALWdszM5qaOCJi4EKJcAM2LKFwwJQxMGmRuUz17u80Sx6tUr6GPF7a2U
cMssjvjhReEXNQYfJJAiGxT+KJSb+9Cv2hiUfHew+P6xV7TV6+IDJqysOJA1smnXYchRNf/S1a63
003VQAwx6KCkdygNgN1p6lNlxY1f+kA9VBnGoDLXeCAVTmrZASEmy9FvvfsctStZ/RJqSuAddLW4
iccrm0TL7N0sk4txZSQ/CMYLjikTTDXNsyoc9qqJvhelPsGyf0I13lwuDmS6NXoM83rC8nzYzbnz
g0brriYzhqP2WvQA8ae8T9t+ZQfVbNpQ3n4a7WD2FLaKR0e92zKaIVE133BLm9iLsIRmgal2uL3u
A7czseH6aqh04mDN7wCJo6nUqPOl+5C3jpOMNSwDZO5pIuk0JLjf0NLob6P0emznzNHgCpph3IGl
EfuZopFkpNMZVhs3alpu544+u4O5RkZ8kQZtLTYJT6ooHzZmNG3JuHcL5qD5MRiry/5hCfMvxGIK
7UY8Ii50PHA+mNGEWFK3z+/GfD0sde5A33Te+87BPj5oq/1CUa9XN6rB/EDLLOgAvZNgCQhfz1G3
4a0E5bzTnFrs6Bo/URNWPF1gz7Ryf4BJOoqR1+i0xYXJFjIoCU+geNw9iYA9LhguXTwAKRYr33vS
2t0SmduoD75NTkkSPOpTLBeFKjP6n2rBSqhq9cO4tmiDw8O6UUZhuLkJGo3OuEKPatfm4AS4O/Oi
tRCCxUe9eOt+DMNv1NJHz8UVnnQlkrr3bjiO3xTYw7mcHC9mQQdSWQXBznbyVhQsZU71oOrpihkD
nEeJkdrKKhMquvOKptsx5H3vbWt9DPzzEncN+2JdiMqkJ5+5F7wSv36HVHPTWZ/EojAU3b/3EQzO
E1ZoUaKUelLWeJkXAR9bjIs+Sr3oJThRRy9YGoF5Bz8WBjO79yVvQ1gjCBiIsnvDhirVHgW04aCZ
Hml3Yc4MrqLSe2iub73vvXQ88g8Raea4jcK7dZyalJuSp0HPGH5Vv4lBq73nSz5gYjGPZWPqhLek
PsAOtcAJWEmctf5ry4JHLIJBfAHc3MGEZFPA2TKVbdskjSDXaWx1VlH/Y1qXKG0ou0jpTemU6/AA
hSdKJicAVgNzRayI9WMb2HdnwpPsDoF/ILmlVzFTARdDN6fcQa/re92DbdhwXHhoMhf4cCWaGddJ
7EzhL6mgckkXWbYXFdqbReWvqpnnVKGTy+B3LGK4jmqspOU7C5swbnO5ZrTJd0XgLwfW9N2NboNd
VXoiLUNW7zhfVYzzcN03snvtOQX/7uwLm+8RHVLelw4MGlRjL7kMAF8io6Ld7AC4YXTJ79FMtbuw
c29A/5+xKih2Rkm+HzqMlxbG0iRH83uEFPaj6ojclYCGjx4mwYS2KzTouWgOZYNd7GoVro1dnB3l
BSDCBte1wJoxpma6ATXexwiOWaHOA1yuo2MerSdHrArYfNvv8mq9B+2bwsnxyJ2QndehAzs+roDw
puWuHcsvjbcuKIhuvQNeI+KxdHoY7sw767DIUeA/9zM3YI9dbFq4Bz7Qrcs7I7y7Jl9JWmkx7dt2
PfkmP+e1n1bdejdhfM582ZHUyy2D/6K/RlS+80a91UMOdTyM8pjB1prWDj1qny8Z9PApKdYOoBKx
T+5YfdeVc1f34rEqHJ3ARsgy2bss7oP2o17Dz0KRYGf8YEh7EeBbCq9JbU1eWrhd4mkU1zwa9Q7B
9FNquz5PdF6dGq7IQc6yeOrKOhU2f2GekbGHRxdmmk8odC/Ud2Jamms74VYOjHrPIX9k8HFUcF/U
T6PmItZCTLHnOPcraUnq1OLiYtsSa12damyKkgA1lToTDjDX/Zj5cAjH/MzzRe2JWI513kRpVzmx
pM2zWvrr3HgNhi54l3rYTHBBj93gnig25E7LP+3sjDGz+gbesEM+yA/uTLth1GY/wHcytPhXq50n
IglMaSclS5gWwpt2qLZd7xtg9W2yIbHsw5tR5Ntdw4tkYP1xHeyuhuslFgpOXtkOp3nF/Sxyr995
XvDhE7AcoHIehSzwf8YBDp32LPp6kw+h28FSKfbo3F7Rgd2IGXwsOp3YN+y4Uq2SsRW3rONxHtln
18c3h8CC5Z08VZaVe18ZCDTRcxHmTdKq7kpCdbc1Ma6Pghc1xZ6WLvZj3L9iXvnaW2y124GIxIG6
00IKBiYbpT7rHkYHGEIoqYt1ldqPel5TDNwZcy1IFr/lMVZIxU7keHRAeOGw6JdHNXUb+9FMWYm+
M+a1wHLM37qH/ib0y6Nd5GfpUrErLL9dXLnX634Ab+fxfQ9Zw53P3Km+lPVUbdsnlRBO99izt/ES
opHx1zef2x2zxRtn4hx4I2bJnJS4WN13rb3NlmJhoGhBtZ3w+HwplhkmJcOf3BZsBcOCb+gzfvAL
KBq6vplMlebcb+8b1qslIVCfbSYC6jrP5aQ1AU8Hh+6xwl5K+cARJz7tdD05yz0c168NocJJAyit
cbFCmIb3qTpqC3fzXMEiRhy4BSIABL12dk4o27SpHLsTULkDVY1pPulvOXfXrOFTh3G9cOHwkHC7
No82YPNu8INP+L+fAwG2WaHxcnJhdhGNbsow+A62+W4W8K9B2amg9BoFRzuekKoKsOa0kxs7i55R
TgAPV2SjIVDScP22a4fefIwWqODluevdIK7BF80mvE5GgL8Mzy5W1nEzyO9utKRDFJyBZqO70e0b
agtUmLpOqoZ/HYQIjmYkHyuscvtVEhYv4ByCabzr2ApQe7OjYpQAVIMNB8ubH71VBx/ATkKJXnfd
wM5BB79oNQHlD6eEKm0POHfPkfX34UJR7OgwHMYJT7T08ANpXyZVUA/x4E5ob1YG7hLqjoduN3Kr
16oTSVDeVi1WyXSJ4Yi5of3gxxGfrg52inHTmltF5Q84G7CzcJfELuKqC3Kl0bKrm+kaeLfMKDha
u7TvneI4Ef0MD+KNKcWLCc3XNtJAcFaSwQkys/BxLoYEfe916bxX0QK6HhycjKq4WZdwvZFj/YoP
+LUUDktD9IJZaVosa5XzGig9Pat1KmLdydMMl1Q6QP7AcnS92GnB3oS539qJfJ9ldW9t871qeZ9s
6pRaopeaavhBymcFI3L8z0D/c6DfXNx/P9A/Qgr86P860G9f9buQD7UeO0bP/7dYj0Xg7wO9+1u0
pbwD4/gFm/wa6KPfYNVwI7zlAVkWP3HJ34V8jpcDBFAAYFzFkY49wH8z0OPdMH8W8mH/8Dxw2jBm
AODbYJg/CvmT13imc6LlFjL0sCNO3WQD1oRVXPk8706cyJligqYYg2jetBdrx0ei6J7yCsdDDx+9
KAk9z82M40iico7ohMHQgE9Y/GHnuSa6As3TB4ye7b0X9NDUA+Oc1FLQ/SD1t2gFquVQ8t50AQCV
cr1XQkNMs7pOnRb6p1+EtyvH/NdoGNGKFjEcQlswZ7wAHCEKPPDKu698B0ezAjKmQETC404PTjhj
9vXRN7vV2EBxZQ1NRFs9BC7/sFX3qCdxbtWGcZBt/pqd+Vhs59RqovaWjOwV9PND1OG75G51AShr
U1SPdJibOs1tBMsF/jS+V8dzMd2Tan1SY/s1kt1JlMMrWLW9bBU+7Gq9pIFnPaALGiNLL2vLf8Dq
VyXLAsMh96bTEmqdgIbsEmfEUVLiJI+8/L0q/QHTu97leshCp7ugh/0mBSTebVMMYFz1GTxkb6uA
b1X0+B+8fUCMQp0Q6Xf8bvC5s+ydsVmwJMDPy4mdkg6oIciNrG/13gvnHYns3iPmNLrRzu3Xj5Vz
kdFwOjUz7ZOwD1GzB6iezTi0SaAAqvfctoeogLxqveC5HevL6PgFoLs2m2YPmR3LRx6yzPNak3h5
8R3xB59jWOg0rGiTmmDVO5eY+sJr7y7vFxaHrCOHVrb3ZQ9jO3x6AJUcrCJrjR1FMNC4Yfpm8syT
lPp+JIqgW8XQyGu526xutYKO6zf70WX3M1IJTNNGiAyBa7M3NbYeaso4w+3KB7SFoioMztWVHMK6
EZlWQ4AhPjeZ6KInjCB3lcKsizJzyi2H660b5tRQ8Z0sa5GYSX8PZ79PhtkR6WYXPORGB6k1VQV/
doDlkTeSmLhrm85BEcSFKSBehLintO8dPKUuJkeFhTUGqvwMS7LooC2AXzjVjr1nbvnShH4eN7Pi
GUWpU8w7wBsBsbaIbucG3FPteDQJS6yvsO+PWesaVG50erKebzUMDr02fbzY6n2UIwze/lu72DsZ
jDAMFOoDG8UrfKLobS2/TpaSDCYhwLtDM52jZbjzW/+HDOCuHNry4NfLm5XRFQ3No2hqzJl0fanh
rIoHSNI7TqXctVh8xyZnL4PugIDCmCFl9SFXCE3oCffraMONlGRoJQZMl4V41GVh8VCLOnPa6rmx
+hnGhQWbtgDCgnxtGDbgrtGIlNA5+jANu4bmT7J3Tm4xHXmkSEZmmrGyPebY8CNqYkxgKXBjGTkv
plv2ocQLv3pVxzYcLFCr8JtBGEJcFX50mFp4EQa43g/WxY3XoVG59SrNnbSDZ/vHP2XxZ1ncXij1
92Xx8v3HR//9r2Xx52uofunc0W8E78SgqIw0AmkPY9HvZZH8BjYGoZsIvMEBi0317/vt8DekIAGq
AqXD/xXz9HtZxDtzGDJ6Ob5ge9cC7Ej/hc6NNMA/l0Ue8G2V7oMhAhC0fYg/lkWHuMvgGews4Q/a
hdswaAagHDXmQ9/Uzy3mxXY2Ubpiggy3UbJRxaXW4wF000ewDZs2ojiULIicsD7BdJvHayQvTQkG
2MWs2mxDq9nGV445FnQhSp6IogzP3rs7ghgzfLyaEYEh7vTCMA27mIrpNh7DXvvKIhRHrLKfehw3
hwazdKFsjtgOOqX42Ho3YuLW2+hduN4L9Msm7baxHOPBkFqHBYgEyT8nO3z4NUVDvI3zXEtAO5jw
dVXeQ+74vmLydxZIANEmBmgq1qyCPkA3oWBEQw69Cs/tEOo3nATvJVQFhcQvnCz4FcdNchha986B
BiHr4qKhSchNnJA9JekAvQKnxx3ZAl+EqAGNbqJGvckbcArC/jjYd0zXQ1K7mx2g5PVuLemSYmP5
ZYJSgiEXxyYxgAL9OjxbFT0O0FWUcu+HxvY7WUOrdKC9lNBgSjOfWg2ZEikgAwJNppvCbWVcaEg3
bBNx9IgUEEcMPMW6Yv0KYb85RJqO2WhCCRsppCBgSnIXVfMPZ5OJiql0MfmRAmcJRCTfcgfHv39m
m74U8Ha3jHl+v2ziU9mZaLcUBIJUraK42ESqZpOrNHP2GvqVI0Lgnd3rQlqMtYUPfKot1a4qQoxP
0L/CTQgLoE5BEsshrHVrFm5yGbzi70jvgT63SWn1JqrVm7w2Q2erobexom8vomoxjW1iHDYQO7nJ
cwQ6nchdk02bdOdBw6tygFehN80pmj3ckGNIr2QT/XoEtCTFuL6PPfEx8I/ghDeRUG5y4bgJh2KT
ENeFX0IVQM6f2UffTjoDNYDwNNMkvsGtTAM5p8UkIGkVC09chz02UCynTboUasA9xMP6YIa5TobC
Pjqb1Ikl7Tt2pU1sVc5wdjc8JZs02kEjRfjKDOW6Dg6Ooi+R9N4I9NRwE1a9ebg4yoEk5/AuDqC+
rlBhlyhYcPHDLkybIWL3qOUmOLqr727iLcWeZN7ignwLDbp8ngs8816FoKt6RDFHisZu8Y1/F1r1
Aq51wPQvXJRMM8Zwwz7NxbaWym2fIUsk5hbChNZmwVCtn7keLQKrEPiBFx7GOdbY6HALduqxkwJU
jT0vBtYvq85vscc4j3M0pKNuPoXpHj2/BCbLTxPHJsDI07qWe69Sx9IpL0RiV64BesdBPWLJ0AcP
RLMJ24Fu2mEFfuI+1i2ADG90WHhIxMEHj4rDYIMTccgnQ/gRoOTtaAoAjKjlqJ3lu0eWIu5ciN/d
bGwslokdxWp2cG/PWKrJ0JjnBii23s1lG6wJhEn9CBhjeNLzbF/m3MMIzcgw9QdfcPpaVJoezYBM
g7u6qAt+gzkjeM0L5uUXSUW1V9jLp2OUPyNMgWV09nBr5EWd5bhfDoHGgG/lim0G7ruMgj6PcRe+
jMF4WIEuwszBDiVbc9ByaB4t5oA40vk9X1f0SaNJVrWuiVOou5oV1dcRSGimgNLEfVV72VjIz6IP
73uGHA7H0t0ihvZQL1WN7U744Efmh1qmp45CccBTvOd5/7RGI2BKst5FgTiN1UKTtiXf3RnnuIZ/
VGIp6Vq3TozJh0NXoz9shvwW0XZesqA9BKInsZ8srFvdNJvqNPjN91BPZeZvilQIaUpU8s2DVIVk
l7cZ0lXTwVW5QswCA4HncNO3kF7xBdx+M+lUVQeOZJ1m3YtR7J2J3xabRjZBLIMD7Lgqc5NvKloI
OQ2AFDw9m8JWb1pbqOyj2tS3ctPh+k2RazZtDrsNFUtPZGbT7RYIeP5E3ERZbWPQ3Q9C0iit+/Cc
Q/bTm/7XbUpgxB1EaHnXYNMIaQFlvIc/BsmDTwC07jTkRAdCDrAI9iz59C43xdHO9cluGuQ0m1Pe
rs8U4iSEjttlUys9yJbtpl+Ost0hmwMCKseWBgonZNAiYY6GiQbyZ+MLP6HLBE9tncK88RhGlR/D
0/YBhLvf2U1B9bk5yU1TVZu62izzDgDlMdh011GUVSwgxUYsxPnsI19jwubKEY/IwfjeQbj1Ovw3
s5wnaLqVj0tNOJbJm9wbQvdVbvEho+hAoQdrB/+aQyE2E7QiKMbKK//xrG4RGCC+0V79fT95/j4M
H83/0U/iq37JLIj7jSKGHCx0bP8mIH7vJ11EBeM/cwDd/xJMfvWTgfubi14SvAWBswf+dnSBv3hJ
vGKRbEHSyIAgwBzxapf/op8ElfnnfpLCThRQCgtsQPBigT/xktMIw2Wrmb1drD+EWTnlUsbYuyxp
sYgSGm5+MismFHhZp6nCwsVFZATeKybMTbsKAm6RrdV5WCK7ZnL2DFox2za6i5FUxOj7DG576xv6
fM1M0QvotHN/mJlbRJ8RUa55XIZh6HdGhPDf5cu64jlutWUIcXByBywiK7wVtF9l8aCs2kWvGI7F
7GbKK/o1w7vrFEoeVO/UjJW7HwlMGft+KgL6tXadku3AUt4Iz22h2kPfOSBzcTnM/jLKT+vzeVdI
DgG0KCRM5XizKTmU2KghhofXbyJvWBrhXHTipV2mzKl7BgYdtp2oBL5OFLDNifYw09OhhN1P+XtD
FqeMaQdLD13KT2adAD5J/imbOsDgX6gsxDC+bx24TrHChOwaansqCyxVuDuVgCpQQIC2o23qneYN
UG0Ve65ByI0CHx33KJLY1YKYdxdBDrwPwHzB0vLd5TV2+6suji3y3O7gsSxjuK+iPW+bjypc6d6v
/SJryynYD9qIjID/RPMSAvegY31XkXFIOiB1qp1gmu86m3FYReOC+x8lVOAD7SvcFlPtw3ob4KDR
RRhDm3prwbMd2FqPiRsBfSz7/jO0eQ4VW2CxruSErr4vFvxOXrjX0DSOESIFUg/BdlBZsDUtNNPH
CuqPGCXWgCENYhra5T6Kcrq3kUbs1FjSGGQNNoV9wGM75hDY1x4fk/vf6qZCgEiHhqPvodIhHRAa
dFgvOLHRyIwIx90D3OnuiwXn5VxY8CaiR/zS4nZYBEHmuoGVGS08EvuyYUI1wWKhzWY3HLEPGros
n5vq4NZQ6rtcqsM/Y/jPY5OCzvr7Y/PLz9jxvx6b21f9fmyGeNUJzIs4IClyC30cgL+OTZyoQMoQ
Q4G8Z4bMHpxYv9RpzNpBgNfW4dz899n4+7FJ8WZaeG6QAYDm3N0Miv/FsflXdRo/GA4dgs8ADZ1H
f1anARYTRIDp8brWAHJmMb72CxqOqjJ4LqYaGWv1M3VzkcCwh9RfbuEExMjdN9OdGvQN9tpOPFDE
PSL/B3KdOJWjvGDLYrHPEo9Ib/4xkalKHL0lXzow3ebWu+i1U3FOkAWphva2mcmzXaEFD8G3qMMz
xsso2OU/bYwOQKTAcWA/K8vYg6UwLMAdiVY+Ud68tov+OiEVDlQ1lNOcsaceKRfN3DybyHnOm+VU
svAW5uTLVJVno8XroDkAB0w4CE18r6OCZwq/GPzDgu09Tx9HV7/Ai7ZkAbIT8W2XKulqe4CH7+vi
tX2G4JJdEMDB7EnfAmwTNZoZ/qMrYXLkNTsPpv5im7VKeEEzWvEHwBI/oIHdwUG/xF6HAYAU0mS5
tUgBnr6B7HqHvvmSd97toJv3IGCY+6q+yMbGhocBS+KijQDBYaqWxWvtmSlra96mllWQ31r9bt3o
grAVk2KzjhBGILdbWxntYA/oE2CLZzNUxy7Iz01RQ0wBIrHAx096CyU+OhQefVjW6VME8iNU/Rdf
FHvEhXxTBYAKEuJD4iJFpKexteB0PCK72Js7ds+m4QLo6xPktU5B8u81yUky9hJpdcR7Dgr6EJgl
T7movgSF9zl6bLpZxPbldBx3gT9+U854GIDugR5hYMJHsRk65Z6x+gVxCdXOa8crGF/wQhXk3Z9z
EyxKqA7VjoRQF5Bjvu9MqeOigp4xtrhqyiDb1aMs/YkFdivfMTEgsGBoTyJXHVr2ClYHIMZQdNeH
sMbJ3IBH74IuAZjG8Z0wPxIzY0W+DjKtR9xxOMUdRI3iJl4GXEPltUj169dHXeD8xdZjV+TTDkG5
jyv3jwDi0Px7NTICurxIi1oCnhurd7T735BfZyDEt2/Exbqy0TAXW8xclgjkJvROop3yQBpHpk4I
Pz4hes8Wskda55gMxIkO8CvAhjbxDyW7M58R2t3CrwklwECJWKA/YHrPCjV/1R1FJgLQFtyNYCJB
1kNXANa80STB2q53ambeKQB/mM4AUIub+idtCQPcMyjCfsr6nzQm/gwgMz0TInaACerv2E92M/zJ
cQamBdMZ9Ui2TFyuwjvnJ/W5dKK887u5eBEjYI0at1AclEF+bYchlobBbAAgjQC3LsOoeER6rANf
GZ3vSe0c4a8SfjaHk09jkHIwnnI2dDdjSCBQdGI2SCoDSKaw/vAT19b3WrO522MT432rLCHiUjft
iHOmLt10ZuE7KcZRwsOy9Grd8mijNcurgHaZEF5YfCHI/x1evHwq8rT0V/BWHVEsf62oKIML8YC0
xnU0j+0/dPa/pwzA1H9fLv/wquO/1kwXX/qHmglbFirgFqT9n4g23uSM14ZxOLV9TCJIgP/fmhn8
xjGDYFUTYUwFgIIV8a9RA2+ZQhHGFAJ0Ce91xzD0X9TMvxhLXbCQWywPhHKMPH+umBLJmtw2kbyO
KltpiCTWffD/vZLA4/hF/pCPA0kcPwXWVTQMiA2D2o4/zx/l8S4XdU1XWL6MlqJONSfNFuoMcS/3
vSqTPiLqNbJWz2HBka/RljBBrfkJaZjygbTlfS343qOlOOO5GFPiOhSP6VjHtStIQgrk93nqZpzK
i5iiQzu6Z7Lae8TRXrpVn+bevxV9cSSywoE3FUUsSQd799aN5yMYDuFFP9wZob8QvvCPpkKoeD1+
osj1AKgZQ4efjxEWcPj6OUR2C95HkLOjRUT8PrdzCCcaREkZeSWSN1cMWcjAhSHXC56QohoiL5f6
r54CZO5ghbEXpCpZVo5dW2d66apnpNkAe+SgoQ9FhI3ijeuDVEGiH7+yZVjmfQguczOmoWkwWLjx
p9XrWFp3HpKbnZXRvavtjISY1sWM2iUjVahVAJCpc8s7z7ng+7eQ0DWK+zye9KZP6UCkbMx7zEwe
IN6QC2zvguo4ohryO/y8wX+lSxHC9bJoiEfF4j9oONLmu9JFEUBfE52i/2HvPHYjudZs/SqNO75R
CG8Gd5IRkd7Qu0mAxSLDex9Pf79NnZJKJdPQoAcNCDjQEVBikpXM2Ps3a32rMa39EPbhM/Zp/XGw
opAV64z/syuYMtplyj5YVbmbsIYNgelirnHuy9JGPV+w+0XUrXtqNUXMTRk/1mE4s7Q1hrPT95bf
8Z4f0Si2r20UHqYZFcs82erKqeOdpOaKb3GXrBhyjTfL0O8TGYCNUyrOTTgbygrvAFKp2YnWZYVx
f0p1qA2KZ9Xxo50bQIaWfPDMmhVF02EjaFWIOFM2xXtI/5FvwQnYdF2muIUT6Oc2GlRBSGo3pjZs
R72wvGgCiRNWiUJDlp9Ydp4QTUKMbOJrvTQgPvSJF5jZlkiR1As1+ap1xtsO7u19OEz2RymzW0lS
zxwn86OMe8/IWy8NauVOlvo1A+I13sbUdyTm+jZXzQRivDWrb23bvRdx8z5jmaoTyWu0Ye9M+ZoD
BLf2stEnQAz24DGQ3KLhOC4g3rjYv8pGf6pzaZ2NCu0a6uJ+fisQXYflG3e9Qv2VaTS9IT+EMTwb
Zvw1W0zdh8/f7jv2RpC0l6OaqzstVE9APbyxT5+JffDaTmOkaFt+MJjrULW3vbww2m25uQNCF+R6
paHXXingj3eI/BIP0rZnWNYVf8cbSifu7HgJvbgJ0F0O3HmMdlGaBep1l8GnGOvuEKoTH2ZE1Fk9
gS0KaCVBZR4cHiK5tJDnN9ys9tGutKM+lY/S0rkpk71eDa+LujpCowOf7xzzfriOnHifqZWvQqFj
uDCt1DllDwxTgloPRUXYyOdUSl/KVHmpmJ3HbXooM3uf9Mr1MioecGSvzLITA2cK6Xo+LJbF6IKe
2mb9UKfWtncMz2mqGKjRtJqXcW+Xy7yrl6LYYxpgSBxAF4nQg8xhVnjGpKWb2qko6RTpZpmlev3D
lfQnBpw/AQconzEZtoH/lj+1f9LrRLPCwsTM2O7VqeoPmTP71jCnbL6G7Njl2ghoFAV1GeUMGZZ3
parb67pO5TsbDQ3gpumGKvgoT4GXOtajPHUbyFgfYK1Dlk0oSMIEFwGV3bpc+ExntFZlYLTuyPxm
pdcDNEC72yJz/Ir1o3fjpH1Q2TP4g9JR9LCGWWWFi4ylnXZKBZqqC4oNsMSNqg9XmVpu2tz6Nmf5
bW8le5Duh6XN9nWvHq2qPNqt6my6EdR6O8dbdYoMtx1iVivI4yI92YTcS14rtzf63Csu1Jq9HDk8
11ooH4MOHUTSTPdJDAbWMXsq+Vm96PFSoIoDGTPF6WmolnMEkRBU08YYu9iLs5oZOVKMHvoagw5S
FHDmGGF1ZLkGV7aAlp6NWGPzLfdas+KnXLjXWib0zSVNshu4mYJNRidqFlIMsobZSNNcxVo7eDmo
HsYlyb0+o64Mp/gV2/aB6AgaWT6gdrOs8eYJtfkGyJax0pXnJJ+9XDNdbNzbkXNIa8tvpWMd5Rp9
aOhI3wLFXOiiauxK7QSwJFd2UiXOsu4Yw2dR5Wwty4zD0cM+g0xR3KSdU1+Pwou2GIpXIKVf6VVi
o0RJ+odS08ZDHNcNm+sx3/39R1UQLH7KczEJZLItFf+CrTs/lQjJQvvQMMY7B7ROWrJnU736++9A
yfTDd+AlAR2DamJCwVqYpLefwKCEuBSG7YThOTNxT5oX1iDbuLppRnyXTebGJjEJif/335N57X/z
XX8id/RV2lW6JkkneS5uQXxg5+RfuBWfGIbOeLCLxO1s4xGu5W5A5+Oy4Eh4Kkahmo9Lt2iWp1Ky
jtDrZLfNo3XmjMpXO9ItL5eTe9PORy9M54OV6c9mQByGkmkmqralKP1+sQrfriQwnNVgu1Yxz7ue
PIGvZZF0a53RKL1D/JbxWfVJvog8TuAZJYEpu0ygb3s9Wzach/cga9RdHmpX0dx9w+Gy5VK6a5tm
bUJLpgVOtpocSX4iU6FkY1Fs5qWXXZiLWOlHAT6Npxs1KnD7xejJtNBcoYU98KH/qFuyedoq3jW6
tJ1H/W5akkddTvdGR1fZpBRrcaBlbtLFiOx7Y5cuyUEdMfjNgeppGWtyLUg5ZeXHQewj4yQ/2dG0
KZrRH4KFT7Dsp11I6gaj6DLJ7VUFMNRrsuBUYQoKDWurlCY043C6jUzU91Ml3fUd3jdNgwi9WN1G
qrDiKX35aob1qZHz67pC0kZuAQLh/WCgGx4MbWsVNieiotwXc7SdAvbqQ9OfK5M7EqPdjjHou13L
vRtg5a4NfRNW+tEas196MVjkf264hA/2959xUYj/4LccdUoMzMfSKTkWV+FZWteH+mHcLDtjax5t
rh73TR1Xxl45FS/j4e8/6yK+/k8eMEtjkAcnhNC1339zpYrsIrV16VR5SPCOqlute/wmB+nRWiPC
ur9I7vFx8BmqDK/8IzvPR3m1j9fBGXJC/t/8NL9vbH552jU0QwbUHtoo46dQsVke2WEqSXSO5KtK
y/CnPTbDL5Piv3y7f39m/fF7CFXQD+/20uS9FEVQqsv6PWy2znz99+/on/4dLNmxLLF2YiP0+9dn
sLFIMtks51K6qh2eB4Oa85cT6l+wisJv66/b94NI5/uTxp0v+rVxd77olm44fExM7IOCufR92C1w
K2wATYFIAZvC7+23Wbe4W9CCgdc30YPxRd/7djHrZs5toZ42iP76Z0ps6/dPOmg/AKG8HsposLuM
FX66zZRAY5xbobyJFklr7pl5ZZjxizlXvCiSmBvZSavGp9ZONSBzn5MlZkyojBmAiqlT8zmB6j6n
UfPnZCovG6atv8yrjDZBhNIG+1HLGKCXWbmk1yUe6grZArLTl2lUO5ej4DybRe3pwni9WBMNWR19
La3IXKnCno2aHZwlU7EJ5zY3XQrUIAWljas7UoKn6tPnXcJyR6n16f8mwg0ruDCFs8LDEupFvKrp
lv3cFSddms3tHCXbWI+DtYr+2Ze7ArZKMVRf1WR5CQfonZ2ZB65SFet2ike3zGF3JtKWsqUjoIXl
HeCCTUa+CcC2/D4OpTf1VBUgYPXUmxjguE7GwDvIgjultq/zUvadGRXacq105v04tI8owHwdjZXz
PxNr8b+QMM2x9dcP4u3rW0MAR9GVf3waxYH3/WkEY0QwDhMqwlwZ4wq0/K9Po/LFNtmWf/8Tvur7
4yjcDya4IVXj/3C7cWV9fxyBH7HNV0j6tjWH8/UfbexVQYj74fLjeeSRZ8dlIQDVcUh8Jun9cBdo
yVC0SzmNlynDHKr3cbXWhijxK0iMuTV161ZKsQlh9x6eicE7VALdaIJxo02KYzcg6ssDP6DchIL1
aBvQlOfCck05Jq+qW14NgYYk5Ox9NGvE/QmpSVUW3Gq9ZJ5oKHjMBq1eV9gmztwk4J2jB0bs/ojf
DEWMvWeZsNcb5SOd5ocxynEfp5c6azxLUbcgPACNJeCE4pw6KclYZS8znf0kQ5whoiha6Yb5nlj6
/WhKL+kgvY9DBO0MJSvBWNgUijL/VuPRwAYmnTt56NGW4SIYBYUOSNLXOeLxojBX3MwaOpYIdFP9
XD5EeXmtmqFPOB1ipZn8prpnKRQ2mz48hfHOrLQbtPUnqKLvC+P/ubgyFUJotCY9FyIoaEoecxRK
Ae6HqDDuBgMRkJx8zKRg0q6p1+T6sYLrERMMYXtfSp26mvuOfj+LMkStGcJAR8OIZWIrxMjtddYI
+gcbi6tlUeMTa2Ghb0C+lscKjEZAvL7UmS3e0nCbRjr7IXwbfS8lN4aSqdD5gVUlM3gpJUZba5SS
dmrqNIaZzTI9xdS7X6TmBm4nEGKplDf91O4QvMSMcrp4rfeJse0DZ04filCywpPaLvlj0hoMHbO8
rnj7hsWdNHNEBxWPPg3NR+tQcEbDJeqa1NXytrPwDBC39dIIhXqelRYYKbjTnJpKsMYkoFwsOZ7c
FoGaG6ozBGIdzFG+qPG9PdoPTRdPGOiclzSeoArTf15GYskw1/Q4S2f7zilGjMvGBvVIv8lwHsMU
VO6lPlC8HiO4PwVLsRmI6rrJdWE9adXi0grTrMx7SdF/mkhTocgGblrpFvGgdTZdEanW+mQWVXdI
Br+2CIwPVqrCgU6i90qJJuyhs+zH6EQluwy6lUxlmUuG4lpO128bRplbtTGz29qss8tQWsVdqrJG
rJQ4cge9uivtzus6U1otPfEEYWygdinAPQQSFFz4WGir58vYOYHLbYqlEdqob8TqeOjgPCL3Y97b
zTjlgsqto/HBnvXK1Qp5xguCYjXUHfahky7tQHuPL2kyQnle6sCL7a7YTFWZvqWa0W6zfoRtW9tI
K6JpC5oUcHrnLLRJS4Wl2nCa61FTgmMUavbJHuZzK2CsjsCyWgLQCjWlIaXMxmIi8K2SDci1BQa5
SgXc9fMY/rcwFKXS39xHEZaD1z/eReKrfriLNHx4jNY47bEj/HgXaV9kbimHy+a71uE/d9Ev6jHi
q6kMxY0k84L/uYt0+YsKnc90bLEg+oxU+ScrHe33MwfuIuQWvArxSYamIrD4qW9gPyNrVVZnV3Jm
YRnX+3al6OPDYJnhBlXthfg7NhtLfELbOq1Yw2xZ5ZNAROCGx3j6vezjExqLO0jqmVtQB3mzBquz
DRER2NoW3O7a7AgknZTtCJkrz6V0xfzJozN8bg3UzTE1ozZhmZ7q18hCQtH170DL/BHiHE4tZMxK
daon/Y27e8MuAXRPC+hEivN+m1TNtnGcQ5uEfqka6wU7OM9ktEJ8fTTV8t4iUWFUI7JTGz3eRIv6
mjXyWpXlp0gejLUVoD6uuIw2jZKx7jdsbi+U68bUDWs7qA6dKm0dLSHBMrkNBu6CibmWP1TTdaHo
zNmR40Opk7eML+SDBjnRXexx8aRCKVZSbl0cLfuGjqrazKqBHDRkR44E/a7Jyo+swjclF0BFcDaf
CHArvThkwUWBmrkR1TqBm+XMRWdjjYAeYXSFF47ZfWc00j6vAQKC/YwarMaF7eyVQQLCanQnp1AR
zPYbtZuuiVGQGOxI82rOx4282B+KNI0rSS2up6gAW2o7z0miwOmrpFWN5p6rTsvd2dTuljx+TqnW
x0wYzW3GrVqMwR2ecVLLHy1W522yTOxk4n72oxbEMV3GNYnqj1HCzx+CblwtISNNs9K3vVmKKGtN
J5e2fy+TdCe1mTeGzUoXCCKoJyx8oBnF8tSSf8pssyyiJwqGm6khC69EArdatH4Thojp6qJDGzYz
PB8Tvi7TsMooeapv0PJc2BgJ0Q6/9xYwmoJxVM6rZ3wexy6Jj+TgsRAKFds1TIoKXS0WeOGYm7mY
GfF2DNe18lxEzrGODWsH6wlIUhvDyiuf66SGFptBoO1jtgh64ZojP+g4LCmYjGFbK/KVqrZuZeAp
T5Xg0IT9ri2q+14aNmVbnKKyXGOjd9hIxBRK7YAhxxwFxhbWrC0PT0sdv7eDCuZt2sBam72kwCCD
PfFCMvajMVtXJQkXLtTDWzvN1p28r5dzN5wCibRW2dmFU3FRjOJKHYItG9SL1JsOaKJho2bQf3qE
4AQmLJ4KLW9lJoB3pDwO0DtHAXUNZKyCFy1yg/GxqebuqJN1kMvDB2pKup1cs3xVBA4QXvt1gvkO
JvHDSqYecXKduGLnuVEKYxcpteEtgZ43DMk1DB8F+HZJmkJE+BpoDiuCiigR194g5wynqNtD60jW
+aB/640OkHuUfiu14ale+jcYBolftpRyoTZeofckYiM2ByTvZudzHA3os/tCbQ5qmHUHzp7aE4Qc
EgjrGq0oInWjIKMBpGVlGvfDp640oq7d9DpLznAk854d7YQG1f7Uo9qFhDaVRYQGNIBIVTSrGnXR
mXziub/9Res6Oo2kHfqpLw+jQejYU7Po6nBhcLsF18TqIGG3SH+or+PYwPMgL69KE960gTbAJpr2
ul7060Zqpo0tmQeDNtgzbF1f9Zn5Vpdlyz7YBJWV6E8knNpuNBB9psiLuddKPsxQDtIV/znOEaN8
IYLuNUoalSlsgsNkqT/w7AyuFpVkdBQMS2UEaKumo0aZ0+k0Yy+B0JCs00o60ZVeS0F/yO3yZYjH
DwYDxGTMCSUCm7OwMvDLaNM+mqk4QTQ4VvUap+WNiVZ11bFe95lBsYLpxltZTc5ERB6lZH7OIvVj
UWReJSStbcjJgo09ku/UeQKxYjR+EDY36cTRI0csUTEUZYcssk5ymhG3NZWvY7jsIg0TLIZp02Xn
yiRXzc+mlS4eJU/oy/jbVG5MuDrGQsZJf1pkFnzE4DIZTypmqwQEtKXcbTS4DxSNlWc5seUvzcyz
FEh3EDYWI3xUmxZDjZ6gf5HAv9ipM/LN8Zs6qbMFC4a0lObM0zB/4B+byks+VXBWy/FY2fQFts2O
OVSsSzwWJzxwtDYVkGMGDGhOt2HfvZrOOPsofm/nTKr9JRfmE4cLxEj6+6DvMeOMxSOzkn0ipfyM
/fLU16ygeep0PgPUaoasSi6O2/fWce45oNdylR3TPIIyFmpbLSnv6wFvRmxNGHhlwZe6GrBoO0b5
NeaiW7HgP+t4r3Vs6pBA9WATLEoD6aLZhSioOXXZ1aoGeelRmu4cY7ZXA4b3xFbrTUsCghvr7SWN
+ysqkTVO/geYMNsqraHa9SofwF6foLLhf6Z1rj2HZetGYqLjWmAjiIMeNoUkKRuTwJ9dxxvqtlF2
kdFtrQA67fuiaFa16eytdrrPCiYnc8klyJGFV24JN9KoHDKaNkIa2OGS2JUdcBvSzwFhk1rY0qgm
8t2iomYegkBZzVodYCPSdroeX7FQf5DwcqyJQShWHHIccMa4XXKo/7JhX6nNsDBu0kitLqe3ogwf
NaOm7bDeFl1D7060Yms+lWn4RMFuep0W74K8epKJctD05nYk00YjyFxjI+zKmchQH1/DPNv0lvru
gMAO+/h6USwYIJ18W0AUAYlprDnrI/ffsvtTfSwzwfzrsnuTvRd/4tkQX/RD1W2zulNYkhIxqtjM
cn6dAKlfxNKQ/zFbVQFe/DYBcr4gcMJA4TAhkpnH/jCQhZphq7wW/1DkTzL2P6i6ESv/PAFiAmUz
E8b8wXHNWPj303qijS116m3nouZk8qB2WKpNo5Vhca1JbFJ9IyI69wWIfXPNOKMw9/kQF+4yOEcz
cY5N4RC3ladf07rcCxct/IJwPZPpBDpJy2jFG21BDazVfj841yAcP0T4rms1sI97dSNZKgVI7IUG
GsKw2tgF7KVK2kpx9tVoJs0VNvcwGa9TlRwus2sQhphbAtO2MihIcK4cDk4JYCCZN2i/zyp0sFgl
fGWMjGzdI06alQGhp6R8TfB2wOllq2VbT7TwO3a3b7CCTjYKSsMP+Ls9Ow2W5ICCsTLKdzoMLyVH
Ho0UdV4ql/WFHdV6IjXUVQdlSy7iYUhBdowd9wxojsavcqsgTAn3FElSGIDL5RGa5okWJYfV16rs
BvXGVykwI13d0MGH6ybVwFo1Idlmo/KK9POQtukAZsLCRVn2z/kUvJApAxGvvBAtjdUD9Mc6b1Wi
SuViNxJZAjSRPbmCTdSTRx2jHlfpBnuG5sGFzNmzO0eKgevcwKAQYgeJ1OTbnA82Nq9Ch8EUPNiZ
rkArmF8LtR8JbFU+aDeo5PvdiC0saYRv22HBO7QWnuGxH0EPIIuZkYUj8eqOS5q951IxPvH7PHTG
y5KbJwpqF1ryVVYne9kMbsc26VDbItLyFMWpoyPFfw/iCVSFGApmJeN33ClOfZ5YcO6ylp0cg5xo
E8NuYGwSMruG8x/trbSkkoQLtON9qWRfl+NqEwW2cxsQy+qAZFGmgmwEGoPBmDHINIaeoSOewo1C
xkGG4qFBi4FYDueqaW+lJZWf/j0OP49DlePhr4/D03vz9v7tj1MI8VW/nofyF9lQkYEywRaLJf7o
1/NQ+QJs39Rp0i2FERFiiu8TcRJaYQUxFAAURMqy2CB/n4gLnwZCUBZLxExjpfhH7F9ACj+fh6Rt
cujCIOaERQL70wZWk9RRId4jvSiy3jV7cKaV7MZDrkt8WlJLcLMFEK2nC7tWrNTr0XCyUt1Ou50c
JJtCmOEpeBPIapFArFWw1hQu64NMkACtpPDHmh1DvBnRKd4LYZ6l7DPwjG0rlWI3ZldVpgBVpWyg
2lVfA6b3LnulQ4Utl9x4lAkYdWE+bjillnVvTw9ADL6ZWHorreQFtKXahpOxHujLSflzSJNOPgYi
Un24NuaqEy7hCpjLfYBxWNI1WKXyTDs3KRemlNdjngg0IH7jUDiPp8beDiY9Up4SNmSqz2SCoJgv
ySwiACBzy7IefNIlk22l5agZG4umtgwwItfRU5/WnVcYgFtDAQ9fSFVZayjJcNhrON5Gs4u2URuE
MpHzLD1WPOCoVTMp20aRXPmpnsBPUpTsgEMmvLE6a3o0h0bYslCTsyozLjHjLjdUYuVMvtKe6Yx6
xVEJo7kF72bWSCEa9FvrqMyVCMMd31pN7MfAqbstyWGsDiMsBPOgTKtuSoN2n7ACuMYEoR3sqgFy
mwOMCfkZijre65ZkKjsnZSmyVsHuDjOh3F+VWtM9hukrq06SUzT0zGdJnulo0KOC5DGd7AbZyK/1
xOG6mmDPcW+l73A0HmsSH0oZwALo0E2Gf9q1SIVoHOnUipiIiLwIo8puGJHsK3IkVCk9JiOS2FrN
7zQRNQFC9U3HpqyGItRxwhEedeTrgiSNVV/TBi0BVxEly4m9MHFl6einlcgK1Idgl87Rrs+hM04B
tn3sCBhxlvBtmUaWk3JZQr4I8nWZNxXCl4JiuzHe4FU3jObkFP5f13paNPm9Amkon+/DqZs8Fp6G
F9MqQn2qWHCgQ+3MES6obGBBD/OYOycEIcB/mfC6keL41lyBrpMFd8SgmCCwYNjMBBh68iSfLWNE
CtPAa5grVJ0yXYQZTzSwBv72OKNzknP1xZwULqi5vB3FMteZSYcJitZa1TgrHVz6KxERD8PDes+D
8FtW2hldHR72ZGbWIiVXvUG+4TyovsKwH2rdnPul0oCnL0dnbfPRlxmxeYVMrLgXGB0Yb4mBEvSA
xCrTfdF25d2/98fn/WEgOvjr++OZLvOPt4f4ml9vD+ULdjwWnwqUeIeG8YfbQ/3CBlO4nC1TFri3
324PDAsq8baWATNHYc7MxfL99oBEr2jMvhHYMXEWq9Z/UE2T1Prz7SFqaZ21LbI9jAk/z7A7ZHkF
8v/pUnWY8mjQ2TY2d52akyolNjuLUpR3MeEweHry/LYVGyAwPP22XwIF9vSEAFIsimpdO2vcez7u
IWYmVvKuEW7tdmLDFLFqcsTOqRTbp1TsodAHQrXJ2bw6AEvudGrORuytOhZYQxwxMwgh8AJLDG+U
0IIhhgbEDwd2Xxyu97nYhmUZY83E0bhU+p3Gwiys2ZxNYodmim1aJvZqOONeJNkcqQHth0Ls3kBr
l6dI7OM6sZmT0mJyFd6CS6yQID7JnbNlmGRcwlHl5vlEUgk4VSYwVVUhllqQq0qStYRik/a0z499
PW9SR3oeBe6qg3sFpAZAMSQsuddBqIeyr4bDPoWVRabhA+/mqRQQLZLEulUpwFpFGr0YkLYm0yFE
B/ZWiGFBtO6YlkPCeOFzdQLUpQlkl1YoLKxDFqMLOC/JBB8mAF8TrY5J1O2qWwpmMYIC1gkeWBRA
XS5AhPGLTlzHrG5LKTjrQMTsBTtCkBFWDl4sADPG0HY4YiFHAtWxyq2BkTF+yFZLsJyNkl9pV00e
ESpXaa59VbXmkSDCNykAS15G0T4FdWYK5plVofpVBAdNGtUdjaSB9WDCCx06F2os6HO5vjXBqJWC
p1YKspoBYq0Kl2sd5Foi2GuSoLANnyJgQWYz7Tq1L9qMbesr+gVj3llYFH28EAcpQGHpNnQkXgYi
FIiq8S616Rpuuk6PMa+pCWq6gcQ44U3dDyTVMu0vABpDqkDLigpUTAoDWUHEb8CymI3Ut2sFvp60
qDeNYQzuYJMOpofpW61W+orDfvZjBpt+mTgoe7GNkLbEmxy3wU6a2xrBY6owBrYtV+aTqoXVTVbA
+BlifTfZTrtC9S7fFVHQrmCIII0EnNMYCYRex8wFDZo1LLefNgfv86xuY3QKu9Qw7poueFGLAkVQ
SqNpEeHWGiSa0SSvQCzKMEXMnYQv/mJ1c7ma7KbDrBKba1YBt0MqWIadcSSohGiSYnZcGWxUk/Xx
ni7jALgHSFIZ81vqaEm0p1YJLtIYQuuAtINplZUWbZXr5M0G9TIoHywGdp19jTKDWEuI8iqPSVVZ
yP3z/KWK2v1kjdUulSzby2JFuaD/F/GbUnSTxHW4L3QGsr0dnIeatM7EgUw4OwuSXAGXpO6B2jFd
zwqsOEKzcaPOi02aphps5brTfbst9c0cgjeWpbrdVXVxCCPZ8uew1/bsVJZ9nSjSRi9r2S/r6tqU
AI8s6bwnc/mpknLtSk3YznP6sVGJdceN0movYc8NpzDwQe0/11YSfrRFLuBTvX5tJcn7kiwMMAtH
g+X37/35eX/qiDX/+v4k9757/S83e/0zMJ340h+uUUbT5KUwqf5PBOSvTZj6RZVVhlJg68TAik7r
tyaMZBVUe6wBvvdn369R8wv6d01lXCV/Sj7/0TWqK39YBWMetByZ2ZjB6pnL/vdDKUsJlSxrjPKi
2qyIWCCqeE3n2Z/EwF6dQoWIw3SdafOuyKGFrihPn3PHErOpte10G+qMs9XXmHckZjaBL+u0bBnV
2jGLrfLCmfUwy/qT7YBSt1uhtZEghc3pndkElwThEkdKmFL/Jdb1FGoLg99FjBoyROZwRUVRynLi
vIgyFSHEwPghgvyMH35VyB0xt9S1iyhwlZA0CyreJcDZj/O/ZANJOcwhe55EgTzPS8KApjXwZlE+
D4N8j8nEs5LZR6rYep2jp0JNRdFN9W2KMrwSBTl5tPkahEaJYU6U60Xy5qCX8mdRyvc5wB8YXzuy
OYJdJgp+OZ/8kpHUBr56djAMco8CkYAUiCwkHftGXJOOJImcJFLsLyiOWA/MZEMt8O7N/q6Jaxac
aX1vWuGlEqlLbJ9xLsX1mnl3z+FCNlMhUppGXa5dTJJMzOr+VME7ddO5hIoxSGISszeIewLlceMk
AT83SPIVHqWtJbKhZkKiBkU7hcVyXkR6VA9+AThS85QRLBWAwFylRE2Rs0ecs0ifClMqDpFHVYrm
shUZVZVIq8pUc4fR+ToVOVbQCUdWjaFfi4yrUSq5dbjWVbk9q2zQdeKwSjk/5sRjKVl/0DTysnKC
s+qBz0zQE6UVm93KFula8sAlpUOEbQtw9gRw1bV2InA3XXcMId1apHSlSuGx1to0iXSVTmV7WmiB
+e2R7dXb5o1qqienyoDHzcPk6iIJTP3MBBPpYJnICUtSGewdAoU2bO8mkSU2JMUp1IOXWaSMZZK9
IcfS9IxOftAJIoOBa3lKxjROZJTZhJWFo3JUCC9bCDGDe/CtEalm+UC+WdCaOwzeygr/5bHr20tc
trWEh9vKlvd5ytKtRaiKk1YPoFhqd1iGA0EU+qnoOc6TznkuU/mGtf83uyKfmv1WtYTrELJN1Y6M
SqR1I6t4z6JzXJb7KWnPRZldUXakXt2iBMiCHmJfYHwsptTjXxk1HaxXYBFYXAzLrWoup7BuWigr
8bhG7cSYQTP5vszwsmYzWkvrz1a0HRftqjGeWwnBX94794WjrLIkPDTCb593BqGkGovD5apfCBtj
p8ispb/msIPaCDVCNaqVFNPEBXVwpbXdEZELLlMAWihIbtCnCFnj7VJNbMSbnlHtxOhZxXHJr4va
2QkVdsbQKtZaam6yMA63cNA4ltgvYY3NRO4Pn5yiovUvgHSt8iW/sifpydKLj7KRv+W2mrp6mT0s
RXg0FIQYUw1m3iBPeyU3WO2spPpq9xKw9xRv8ITzdJblq7xE/9CT7XFB3Uw7YE0+fuH3nrKKxIzp
RhvnaqcVw4tS5utal5/m2AKLgz0I/42XTzwvtt7qm6kPH4vJ6T1UjuvKnjdko3hy1Vw5MWMW+I9L
WwGcr4MzMDzcY2a6LSlv9pZk3Nt94PGd2ew6+h2dlrohIqj1llqp/GpKJr+W1NPEY3Bllc6NMbfb
KdNjt8gG8l5JyFbxngrYrboyrM7j70p5nbY6aWwobihL3G7uGI9lma/Y5UfovMUMtXBr3qS8J9wD
RCyFTHC6zL5CGbrGvsNvcUhJhwwYlw/LGLvjkGyiumb3nmQOq0XpGy5u37bT2jOMcJ8Z4TlKVBh+
fTwcdEkpfH6h89ZQpxtBvFZyco/IRUIVaDPqnrDbYJsLdxNVcyB5qa0dIojmIi3pRUaMtOM4Rj0A
IzvUp7UU1bdqHGzMZW7cMDJ7Rh0Kyo6wfUvViCCJVts0hrWshromktdAmqBWt70xHaGRAwjX6k3P
OtJIq/NYVtmuUsZL2E038lz6iL/ntWFah7J2tpIijXfRMvfrsVffU4fGkfHGNXFVib9ki/bveu8X
WoLYuf1tPfVfq/emeG2+xcWfTCbEV38vqRSd7FmFAsnhuBCJtb9NJhSLbR6zAp2xBFprmaHF95LK
4E8YFTjosL8n4H4vqbQvyMaFJ8MwfzFs/JPJhKJS7f1O6Y18GpgBoDcFjZ+qyeLP315vhKHk//0f
5f86+OorovWis5SiWTAGEGU2aumdOcz1y9BokEG7ums482bJsrhaF8Tcwf9n7zy2Ize2bfsr9weg
gYALoJtITyaZ9GR1MFhFEt57fP2dQd06qpKOpKH3uupKRWYyTcQ2a8011m3yMCdpsvGYP+hXbE6s
NQblEGkGNMEBErlbzq89YCNl2p4QyxjMb2HkU6MQZaWyTz4bxlSKejkw2mnCdtdVWhbduWg26NM6
JpCFJnUAveGS3OekiDygU04M6g19xnGBSomZbRJtK9gDS9llLXaKuGJc2MvHQgyE0cxJNzxWuecy
WiXJaPatgpkGX7e68FOYj2czHaoXM6+TF82u7L3lCbLexJAFqIpF6K4yN4lPxBS5PVk4SCR8N3YC
Bg/GoQj13M/NpD/pmsyvpFMMt7nhRPARU8PyY1kMe85qmxOhdmkn82nxPcoBvuOEZU8rIAW29BOR
yVuNQ22Bu5/He/CSy7fc0Mx1RJJeW/izXtuNscWJnaCpBc3DessdzG5nN7whLfoSbXjpYlZzm3QA
WmYloo8KEmOjYHE2i8FVXQFEN2HeAa13+Wdz1YQ7SS170zZD8sX0ivbGk62EGuwIhNmtFd3nY3Xl
mUxfzqXGq3kutHAAYNfq0CnDoKSCjgxCtq7d2Ehe0qw1KEj6rA85PenSRzQ12V7/5D5ormJA1ExN
p2MuY2t8d0Y3fPcUSoJherDNGEPVYJ/ATbQa4IlcayTHadw+R2SyNqQPap7vMBD6txP87ARVz/Tn
J9e+z7+W2Vv3x2mq+rnvZ5Zh/qJyNsG4kJlts2D77cwyLBI9OMbgVprYTX7YxaEIthws+Trocl2C
f2E8+39nFopgXaekYTDpwGdR/Jd/ME3l9/x0Yln4X1j4ucJi4wdn5ndNYNfPYy1Lezz3+jFE7z5j
QNj98KKcfzVq/w8zwzPEio5zzvo89n4zcPNXMDGWTP85GPHp8Pf+fCwKInxB+bfV2Ry9hBGbZbdQ
bCPTKPAN603NJh4bWnqzlLHjXkVRJJ/Z1RvpDRuN2Y/oq4yj4VSgAMpDHU2XcZBtHBNbWUx2bc9F
PM/ZOSATOyu1w9xyc9flXadXIWMvsVlqeTvF7T6Ya5ZF+bQFTyUgSddHrRqvNTf9Cq33VQuCdV9V
hyRLnuchQRAWR5QFOA+M7CCjtl6JqfloekmZHI8gViy5i2tcKVouKJYQHNUDtVUvkweJaNpsEQwV
z6GjH3TcbSu+fuzNivcMTwZxDRRTc/4eVDqRUHnFRFWfMP+C1ayyHgKBHNdu0ZiU0hRRldS/Tm1x
NC101MIq7gcRgr0yHpqJEaoRd09pDoE5msdvrWMdZ6sptnVSAYifxrVXS3NtxxydQdncNTGFj7TK
bgO15ZSHReN3rXmTjV6I2qR/1hJzu7Df2TAAzVeu0X0ksiYjkExnFm/luSitCzk21qbCmbSiVU32
jj6hLICc4E9JX2ziiktJkAfMgHZ5EnlJxmckwaJrt/aoIc8y4MblKMY9N33R6sZaGQzcuCmSq6wb
CRDW0iN0PQbNomYU6oaXYfcN9dvW60kwy0fDt6YaIjDZ5sEyWH5Qu4A3QnFs3L5Zd4PcLdL+VsXo
nse5uaC5/eaq0pyr5wN6F0l0lrusAakzenc+LHRvOjrcGMEY4YTJPjK4YcXk+iVb28Fov4okgddD
zAxK2OKQxSm5lUO3jV0n8nucXb7VdvS3mu75dtGfe097gHvT+nT5KBuxCZGwesfWrl7Dz+79IjA3
mQUcY0CLsiidhOcmdwZq0XSgM5m84SlF/gky2/lIEu8LncvnqtvcmixOV7DH0lORZ9S9SYzLxNYf
4GQiOrOrY5Sa12EmAdCU8IrENH0ZkoxPz1j3G3fk9ZByeUmd4J4SA5FJUrxbYnS2Q6M/pGFGmlZB
UaG58XoIO1IWtY9Oc1803CwMipH5mYLsXJaYoMXk4pTGpjNhcVYMpLPNaDV1QOoKwapIKet7OxyX
FQofPuVk0zyk8HIPNn6ss2OO93VtoAap3vO2OMRpBamprN5QA9DAyxgcYAddPh0JkWGl/GRZ3Tpz
AtSpzmPhbSaWlnNymaMvjzXttukTT2l+shqkXk4YzTC6F2T1lOvGq0q/zWwGH3x+Q7PaTaR/MHrO
UUUBypcot/lursyoumpL+Ry59jty9Bo7KxttaxHbnDHLEM0XCMteFRsJyMcxt/uXsMfBxZlz2xRi
k1TithTmAeLs7TzLtaOFj0ZKgolrkz+sX3hjeIZscZ7ziMKn2y7EsGLheusHAtpoI9Zp26WbPND8
FAmzbBtWpWRRNtVwJSXjixr2IdXGOoptOJMeSofE1UgU1a7nrnnMYy/dBEb73nbR1qinJ619t3s+
iYMjt6aVIFMNChT9BMSPyMmSfgYwyXhFPkpQQ8xVGsNPQsZ+tlt11VVqms95aWl3AKMgwVCTMc3j
3FqlpVVRS9gLuNy5bHw3o6V0zfwxrdtt043P45g9MuJ40fPGvNF7ezlz4dXbJqtfa0McosZ8mwL3
ul7mKw8W5brICauwSaZcA290UcDT59PA4yrJ3fkU5tFdHIZfEzCY/pj22UVDnBmyL7gwAb4q3+rI
tjF4F8foPo7LZO2Z2rEf2meglgthmGa+DbRWbSxqeAIxd4/voaRFqJU567av0Mp3cMadhCyDGQ4y
nsKSsDfigZAstD0GPpnv+Ta76zrr1pYzDPtBdOMO1GCJja6cgSnqeMcysoHCjlxZgiLt/Zh5Yo+q
7Gyn3S11n187YpcMSiqmBd/oxxMGQuIeOclzI6a7kJrz4Fn9c+mNpZIvBFd/fe0qKsrvLl2Wt666
cVmSYkb6+dJ1sr7C7VP359IFayiuE/fe4Vnb6PYS6+mvH+vnKkJd8GguaX4EIhvJsJuW7ce+p23L
CSBlO57dAPDgYz1vI+3x/+8h1FP4obUa8SxlY5+N54ovJt3TKhq+WNXd/8ODIH+if3SosVTV9eOD
tEijp6QYx7PZ3Nfl5aRdacPhrx/ij28LL9UPD6GW2z/8HR0JRKGwpvFsuXd5vV1oEalCCvmazH/z
SIhef/cB+PmR1DP54ZGyaLBzp+OPYQ21EgWBysaxz0/jsBlyAKHLr03AnxIvft7K//oZ8HQkALTA
JtYp9XR+eDiayWlpOjGiRXwWDJikcx9GF3P+r+rv1ymJEkz8ea9xV+KTfv1jp6F+6j+dhvELXz8l
NXZttBmqlv/Pwsn8xUa7h5Xnu4vwP9MR9xfOCKxfrJvUJuhn3YYuwTlLy0KXhK/+HwUEYpn5/QeS
FkDZH106GhOa0+/aACbwWZUSZ3ttmHYTbW2XJQAqj/5bkyBzs2Ar6nmQ7rWAKXAivMegA7AeYHlj
qCi/dnl2R9qEx1LBWBOnCB+rir/2mn5oh/oy1ZLQb2z0RFwp8PWo0VJTfKGWRVfG0XQBIv1AQLNv
LvG12WmHPPJOJJesRNOqAJqEQfyMDQPm5b6Ime+N2lqaGINHpwRYu5xTmIg+lf+tYXYvWEyQzabF
zZxqYlUCBtIidg/BALsGyz6kXOeCPiKL5y9jqA5cO7ltG1TODbWryO2LXCfkPsEMPRMbe9Ir6zpi
BaAkUBeLXV0NRX/htsFb5UHVMpwvBv66GwpfytciOI1cgARFI95o7E3rGuK1mbEOjqm7XtrmEWn2
G5z4aMXuuvaZ8z5MUsNuNfCH4PVOU/c0Z2G0EfwNgZ6e4qV6JT6x3Q5BGm9Ggjs4KWp7V9jBIZgi
kIBu/jDjd2n78QsnCmN8aVxObr3rLKpTD0nManDF1kXCVwf2dWqwc1Nox34Uuj8v3mPieNt+tDl6
op3euYPfuslNQcwzRpUJWNtyObauvhmD6jmObOKIDRZVtcdF0s5SIbqf7WW8gG7QrLo2/yjd5mQI
M7yM0vDKi6xoXXTOBgtg54vO2LcBPJy2Du+NrDmACAWmKzvvODqAepkpvRWhvAuDeQdZctow8D/O
pUEGiKm9T1Z1sTjF1km6J/7bvigZHluDy8rBiFFpJN0Z82Z2CVfxHiWIoDrzJLYSOne4ugHJR337
kYt6n8hm5wy4Y7q+Cbf8w5Po601VIpvR04FMKq29QzK/S+z0xZoF6w7GPZVr42wFPt2V5AAWRX7T
J9G8Rb64tTo0oMTcbuZIIn0BWuGnS3OiuoYAmZM4iPluZ4TlRWpbUMDAN6b4xa10PCZRl/hRM181
Hq+9pbIh7G5FmS/nb31YNk9R0an5mAf/yikLeWtUzCTgKDa5dqNXXn3bzsrsIiaS2E19m5LQgKQh
+EjD6T2wCeeMUMMWei2PspgeW6f52qUg86qyvJGht9Oi9EYwZHdha/ooutbVxKDOlAMIBr0h+K+7
EuBF+eOqTS0lbdaU7MtusjZRYI342+XiJ0Ob+6C21sClt6YzIzky1mRpfnEDd6N78wNvNJzFhN4/
1i6LOtpFqXYoWCE6SFrCJFt7WrCHiAcxsyAq3mWIZy1Hs+qeRN2sI3sO1wZzgQFsH77X5FLGNVuS
FKLoJIk0QKlS5bwhjx18mHnqUQOP/pD3h1gLwFrA/JxhdEax95wz5li1TXQ5MAZmYxMTG587/WpJ
WXPU+pXZed/a0eJLMPvzRMp3StSVWc0n6A6HsVGsK0PH4DiOvLc2hT6atbb51jfDdTK56zax7vU4
pKCfG+wAEsq1XWws4qFQfEYr4prI3Uz1O7sP3mtHhSQO+aFjUum3ctgjSpt8rWYwa5LITXbXRQRA
MIltd+UCX4us/jTK4gLNM2068UVW6L6gV1t1yPd75WEA0u3J/hw7w5NuVIeAXQy9pNyAL+T8mwq0
eE55a/ZeR1Jpc23pzF/CZK/49gi0rwJnoahSutruJjD6I3MftMPEZk1klyyLsXWcZmNq4oAvcsDW
USycwiaJ092FXixbbBT0lzPO5Ur/mgX4PDqj/0I+FLlOhm0ehAzPQsWThuGNWNxLz50Hf1lwyzrA
NnXYodj5EMFWYbIhw8cDWGpDHoqmMwq1bZrNZ8NzP0xjwRULExfPadu4Gr5Oxtuj1tFxVedOug9E
B0R+btu9P+U2LWliZM+pGRC/Ug0fSdtfRJP+mPUFy/HyMvJa2OlNfMuWFPN082GH86bvRXUFBZQp
zfKQCmNZ2QS1cAJv2sK+abQA0rvuvWhO8zTV08WYRxjs+1wChXT9TuBAS0k0nZTeL7ywOrW2t+ZD
UHtIykVQz0qo1qaPAzmg6VpgTt9CPh19d3I3mR4fDJuxMrAmsONl9GYNZr+eh3Jat4149ci8Eg3w
P8oFqO6GQIe1IDQz6w/ZQYb3uvQEnYPjcp4KJg3xU5kY5DIZtwABII+U1mqK2m82249OV+vM+bp1
Jpx7nF+NFD2ivuJhmrVH8prus5jpFqkzayZqgOjn8XpIAe5Zi3u3FOiuMnJHbxqc3BsbWMHeKnRA
GIgpYHAIADp/Q4X7oykB8hZjSpR4KFh1FH4/F7DsJYQ1M0u/Fnf56hll/7n22fr63uv9bXsqjyS8
+t0+voSlv472gESP0N3Rou8+67p/4RomL+hfFLivxf+s4/fwv20A+cHvNa5wfkFTBbRYiZDVYPy3
GpcNoE3fgdvPZjkMNP23DSDVL//cIPKTFJBP+8r3abppUBijJSYoiEHM50rxH0zTaXd/qnF5Svwy
JuoA2BB24bn9XSccs0LD+dqZJ+E66JFtdClh5/eOnR5zxpcVGqthkbghLL0ySE0rgGL3ZbAOI3QK
Zp/I1zRSWYfoMXVkJzIT4jyKllF2MswVGZVD4V3nZYft1Oyz+FB3s3EP6UOzD6LVSXHwPM6qPDCD
Yzo7OpUBxhdxF0svo7QMl6z95hWhM564bGAGVlztg1Nk78HADK0s4j7ze8vtE8IGKOm8mpvhtqvn
7mBlBkYAogNTsgX0uf+yWMDHmQpH+oVB9B5BhHXi+UUxRpto8mqUK023wRwYX9jdbF0GwVJRCHuB
99q3MBdgWwXjspMW3/i0iPpzZNgq3vmLTMNviUMEpbQ8rn3Hfq+6/N0B4A0cKq+tNyZxPpR436jD
8VAsur3tcBJ/GR3goYOhQ8xiaCR8okySVRd37pNgnozeZgy+Tdxde9LyjANZVZjjUkPBGxp5Jeue
U6qq6p2l6mQcwyTdK5k1ozHInw0VlTcQNhi11drpuE/HlsiPLr9we68kzryRp9m2l0NqgdsCGg/C
iXqLOoJ4ZCgfyGLdxC/bvsAXl64r13t3rUjbucOyz4R3bQI62M3BSGXWIhELA+birTU9q0QJJCQL
AGFY7qVAad13k99Fzci4Dk0WWNWJYbg9rVE82JsEhO+1HqbpHUmE5i2A+uI90a0GgEhcPDGManzu
s7eCBcevp+e/p5bFCfOXp5YSg/L+/5fWnJ/8fmyBqLPZB9t04Mg3yTX67dgy6NrB8agUhO9eve/C
BQn7ByKQ52FI4lBTwUnfhQtoQTnSGOypMwaL8j9KejCU2+OHWRG/6dOdbIOLZACgnsrPdx/hRqUT
uq7KKIqJVJ8dkuwNoGXZVDzFjelujKQRq9aAI5YRUrOiiTjUtsDwpudYYfPxOCrqCJpIPFl6vw9L
CCC8HtDYShPWSJ9se5AIiUy+jgFGU8Fxg1QeBljWEeYic4pQrZq9c1TnD3aDmh/AAeE16XI5p9ie
wg7mcfwUJOY9GsLiWgpm5uWERLKPJZiISTCdz6KnAMH7JvW8G6SE02pCtsPyEWy+gZKnQNLjIO1J
qmne6lOx0drpFpXl9aRUQGAbaLuRGVn1zlY6oQHBUC6bu0gpiGiwT63SFIWduUt1L/ID5Eaz0h2V
YTiwEkGLZCJKCuP6DuLXNlJqJc+iEW2a+DAgZBIikjA3xqshrNeGu4Q010r4NOV76ihyXNI+IhFT
sfCW2+BTLqWEU1JJqLIY7EyOqsqr4iObM8gn6K0WdFeJEmDFSoqFnmo3KnFWrWRamhJsCSXdYlex
7dFymUrUZaLuopaqQHmYtwm6r7J9M1CBYdTdANIkQVkJxCLRvkaU/EDtmPRbqMgSJSczlbDMdEih
UlKzWYnOSKHYu6jQOFDKc50LyE0I1HQlVYuVaI1b3NgthnFvKUFbOhDsi8INqKZ3RMi5T5X4zUEF
pys5nIvcmDiQC/LuzoTYrLtM38GM3pZKSEcg6ZNnIa0rlMguUDs9D93dgv5urudnAz0e+sYvlhLo
5eZwixKTqSfaPR552kyo+QYl62PKZq5qMZ/pp7DOof3zlAhwMJuvQskCu0YYBxJgnS8RQCdaUsQi
m7kgWE5ftnZqB6smGaqrcNDksQrL9mYijg7d3YwDgReoJkbJcVFuuiMAaHPlBpJtzrRX4ozZBqlv
Bs2LZ9GHWHOxt6C0bhBtrqo+3TcjS9ze5iV2w2Cn5dHyYFaEk1rGPFL5yzu3di46Mb9nUU1Zn9q3
WYCVxFkGcCMDAVLjWtABbFIHQ2XRRm/JUnmHrpRvk0p1Ngl6QpFELHAp2puOZS5fxFOQ6u5aNmN1
JMIDkCENeJ1aG4x3rFZDt1+JaeYnpqFcFWM4bxMRQLIKzlkzsyfJO/16iPrSd3rLWAdLdlEbhb5Z
dKcGigIXSwxYs4rjmBiIawLjJamWfuU4XXcZsTI9mQyw3nU9SO9L3SI0d3Bp70QWsRD5t6b+1er3
lwKV+/fo9b8NjZXf+oebybTYdOA5wCjOxuCHm0kB6xx8CtwIipxBLft/NxMaFIvLB5gF2rlPVctv
NxNxp56S4Oke9TbV8D9yKdgqHunnmwmGMXI6HosQIo5nLtUf1wpFRq+W8TSuBzI823Vimg+hre+T
omDnl4Ub0UHgtBXhJoCkAHFUcB8ZzkYM3rGzU8evQM8RGjrfk4+J8jPJMcAJ4uxKJ98kffUtNCYs
cEvXT0hKHYQKa1PrH1sssrdznow7p3GgLlozanfyfJzaMP1KDs2JoXq/skMj2k5SfCWp+UPH0byv
xuKqMRLB2Vji9oqn/hZUwg2YHOemptxG9DcSQJ7hd2toEcjdUpdOjyJi9tgn5jwrd0q3Sdhre5HI
YJPwrQRTGr+JAobIuh2Q9HdFMtDkM31CgR2sOhPkaxoU4jowEkxUfcF/Iz5gL0UmVhUPv8QktTXI
8HgUfA4LE0RoVwrkY46nTOLHKKPjVBj7ruFOJvfmtcvM+sIJsfyV3WCD3UluS9I7iGG+GDSdaZBj
qsh1bIRLJGJiYxqwWkw8m8jBCuJqD9XS3nlNs4co6B7sejmDpZgRKnpPaOm/lU15VdOOw8GIjsK1
z0gU78MBpcw4Nush9T6ayjrovXeyqbXX9B4Olkc0N8j6n5MxOzpF/DIlXevPnvYxhS5yjI4wwGz4
Yhfee1XI+oD0IvaTonOhqvGyDBnzNTMKo8s4Hhkr122MlLA8u3PyiB0AIUHOdCor7AnILlvhnAnU
amnBOg/ti+sAprOMcpOGMVLIEHYoGEVyL7x0m+vo0ScCBNetPt2XvPXZJ60sHui/0EiCKs00ImSs
/lwpvJmuQGcNxDOr6p4HCGgIcciBNMVbpeBokcKkFWTkBAqcFhZy2DoKprbUbcjDGxOZueQb6Z/U
tVgB2CrLPGgKyRa6OXRat+SLAK9thttmwW8zFcgNDYDciKQFpuC0H4TPswrXYfTy3a/8SsHg4kWu
nCjwVhLGIjAuviPBVEKbURi5QNRgbynxRghz4cAgN3KnaxP2nAGDjuHftZO6IE7jbU8eRL4OxpPH
72yt7q5SGDsHnl2aO0/Sy68BDRLpaCbzOoB9lwo8H4qFV3TPUsHx2CVjzkwqb9NKj/AvhJ6ENlEG
pNXJMPpdq+UPbdgf0jokpqbK9wIOX2wwv4PLZ/UgA6RC9TXTdJ1nxnJ09ewlAutnO3AFHX2UB9ya
l4aXX8UgADPFAsSeZOBvSYnkdahIQvSwBL6LGPhJfGmAE0Sx/pIJ9CEua4aVA3LQkvZT37QQfWAR
wknx1pPiE9qRZa8bxSyMFL1Q67tdaLEg8ZyF4SuIw9EJnhbFPKwr2JsLlJpF8RCZsWNL7rJ1BS4x
WJr3WvETGZspGxIgHsVWjNgC0d8zmh0ALxoAGLuRUb2pmIxsnqx1OsDtIQXmA0rPhQXAMVbaq0kx
HTPgjjqQxwXYY6DYzI3iP9Zdpq2YD9wyVnkR5OWC3ituDEWNZIT64Xj9rlM8ybpgsW+0w02DwSQA
OTlELc5UxaCs3GOsqJSBzG8yMJWTjLVjBLgyVgRLvZuODkjLIVQJvxOMDZC+me8UY4oOCqHOoqOM
UVRMG8vsWmuyD5QQ92if8WMI1TgrmuYUJW9NxbyzhLOpK+KmpdibxEPrF2OoLfsOMKdU6LClXm5m
XFMbbQC+lpK8OKET7BXWE7yn5+XD1qqaI91WxC0QhX6taKAmuyE/c0p7G+Tzcw4ytAv11xr0xW4y
oIm6YEWxPD+QQHa5SKhLBcH21mBtG0Ck2KMvSBvdJ23Q7Rc+RD4Zr8hbwJfOUnxbwJnaIWf2BOAU
ZPEG+e47M81TBwB1AZQoFRG1nXufFNyXEjVbkKKem/AmUZztJTBVPSSRZeBDoHMeKdqqjGHVsX6E
sDDL+wok62LZ72nHQRmbTkmWE4mqOuztDpCroMpaTa133XiQ1gxgr6R9tsSxoWNCy4eOxYCqwbqo
sdlMOXIpd8SlvHJ3NpsyjnqSQTBGsPN3rl0XX5SGyHPXtM1znIo7VDLASRbvQcjuJUlhSzacC6sW
kusqw1PNCSLAtLpfzcCddg1+Vp7f1yapqSfd8q2lZoQuTplYkEt5RXaUvQ4gbXDnseXk/41VdNF5
LB86Ql7NSis3Xt6/IS1DICjrNygn18jkWlwjARsbJjSiYt1i4fPdeqU3IJbvrFWQkAfIt6z2A5dQ
BKnzLatiiK20umUf7me7JtiNc5KZELDa4m4uF4hIWvIlldU3e2TwHuXk+QUAVhK0FCzi7oQNcbse
WHstmjxUHQF3HOJ0x5RGOBNRxzuaaK/xLRKQl3+k5Fn55PFcTzLI0GaHl7oZM1ruqg9XK2hgLe9l
LDWx0Wrym2g/GAMiXqtC7Vmv++CmcYsTp3nrBSeLJWoUW7aGQR3Ynv5JcyJ6TKGdmliH84RVeVjg
9Cn+07919K91NLXtn095Hskg6P+b3dfmx74X0iR2MnQ2MJroQvxcSH8GYHskTNkYV6A4I8z4PuKx
fvF0gcucafGnyILB0PcRj/mLISyDVBCTkMzPmdE/mEz/YcADxEgNXFzSd9jKWjyFH8voScd00DQF
8ddQDGvAl2FrA/rNf220/lQEhFLq9/U6wyoDyJ0w6RwM3frdJEkwz6mdxKqu0AF6D2lUU7jl5LuT
9IhshS/xZwIk+SHLHQ4x/CGOsJ7IGg1fqjJxj004exdC5jCdZKMyJUmXND9zJp3PzMnhM39y+Myi
HIN6GGhJ2ZYjs4vZ9mrZNWrQViBDrpColmPWM1bQQtwvcA4KjqzZ2yjdCdi44pudWeOVtKrs2uqh
bfrEzGXztgwg4mUD517WEi/P8Vya1/og7PRyyJLrpktH9sGMhiPvbAr93W6rt6IOt0Gr30vgFsVo
7mzNKXcGLGKGWjG7tGDr5Rt7yg/BPNdrMwU5xLZtjdb0I3Kj26WyroRRffTmcEfAQq4EtckLCLZ2
7YVpf9Jk1WAytZ1jFntshiFAsS9tcfRo5oeVtEwSggjfUFdXm3yAHBFnmr0xRvfEwvmqLfDmcgZz
GsaLsesK+TAL7TkzENaUScR0q+tCQ6KAwDYStkG+QcETb1xL/QoMgCJ1mgck0NiMHLeIbluGH5te
imbjTTozalQuvIoGXJA2RYNtaQ0sY2ZYNYPyY6QJ8TfCRkPtUH5TNjKspL/EX0VXQHQ8+iSlM/pB
aVbPDYGgkCKu2k3+yuUm7pY7shNXNeu5Yg8eFJPUJt/JTbMpCLSytuYGi6qf/s1n/TO347fnwVzW
ZKGEls+xweUAM/udlI8M2LEP26i8CozwSGTs5KdhHayq0YIYK1NvUw+BuW0MB8ds4OqnUDbBUfAe
OWkNdluihmWTgsx++dJNpbdtDfzmXVdtA3f5Iu3AXiWBhgJqmZ7qDNCx0dTA/lu811QHEF8j6jUb
ONRsertRoJkKFr+23IDprLdfTHo9w9iBoxQrPGfKFoTeJi/2CRzv0mQ0WQL/Gsfw0mAMhoyBGSQM
mlWeAw/kS3w1UrHs6lApGszwIRzLPQzVUz+5OvqRaqcTSkrdUANx1pO/0WH+fIh8TrxZ07HTwDOC
ccb73SHiLcboVXnQXOlDnuw4CPA5NKx8yNPc2GVssTwKX3840c+/vm0/ulQ+1Wc/vZto0358zN+9
m9o0sJZLw/aqDs0XNjo+Hl7q01burbw/lTVhlqEDFUDWtW9nLXZzq5iJUSUBhZnmZRm7z3qMTYTB
4wfh29sK96lROjd6sHyzw/pLPsb1usbW9+/m5VdBpPre//mdfEIQ+cedi/qZ/1zIOELZfLLsMCyE
qWpV+10OyYXMUMnmdhIMuD59pN8vZGKBhGkQ1kP6topc4KP5/UKWeLJI7/EMPpGEbP+znYvpKbnj
bx84tXOBuoEdivkaLk4GbD8fY+1ComJv984VPddyCZNdr1pCFKLaWgNQHxZVaPYkcmqI1jKWjYEs
T7MOUn/TQ2JdRZ2tZycGQ3quGNE8BrgEfdasDbIhMHibkDEOQJ5ltGktxy7Bkj72uVbRc4VYiVDx
aV51aCGk48YZbGdCbyZxIUQaLGVpI77v2f4Yek8aqWXuuTfcVdsOcLMGfaDUbGDjh1q7DXr9PimM
U1M4sNBz0o1n/baYGTMJgdEJatRFVeYXRR1cinF6JH2AZkiWHJRVvuurQ5aHAROVyljFThL77ATo
HeDwUJ6ARO0DwCDDBONVemehcy+DtaKvbrG2TAVtAKzy9ZhTORTzm6H4HnE/PHcTw3cRZhd5rNtr
JPtn9ETzdnQGIlF7GFrsuzvflMu0TjsnW5PAuWxmu7FXjEI3ut1zhfU0DKM7vEGJv8hgGfh9w6mQ
B+JtIraFUX27JS18H9s4THDBXCYuuNi4aR4JDs/pc8fLtoedMcQw75bSvNMsfcs+wdhCUCWCIMf5
2wTVwULFuJqs8ioxytu6Hv1AVhcxW/EIKTrCSoxnst7MffYVjD1e3mhYI8RjmpUSjAa9dajCo8Wl
3VSuA/J8ge/YTcmKzIl0685S2zLgOOUalpY0U3m95FeLMHwCyZ34jC3inQm4f6054XmSXFQW6i1R
d8ehBzBV681TWKqWJ7Uv5lncdeG0cbAerxICPtIiuQ2hb8W2uU4lYzHHWeJNYM/ZqrJQ3DVpEPn6
5J1BskjwVOZ7mYl2LyqC3OyivLJF0e0i3BqFmT7g0AZZUiOmra+1qKpI70GAZ2Vegt8kwU+bP45Q
mVQye6+bL3rVlxBc7N0wZndTamMhrmfUQREWP5e437lNBj7oRnRRVVRaprfo+2gcnwpkyevE6J6m
YHwUVgvGDYRk2Cw7NAnXxCnhRnGR1XVf6dRAy2MGwNMHsr1OBeH0giSTrr8LEvZxJe5gWBThIWyt
EFBxfds7OKzc8Ettt7E/xeD1PXqxDXt34Vt6/zDEGLBFaqG0cKKjppVHXXqvxcK6Uw9rwzdKcUcS
1jZurPuq1XeayZYG9tVqis07Ru7u2sUMiURSuwoj6xTLCix5Gm+nOHuKLbAZhZhf83CZ9ukc7vsB
FYEWuYgyIMat4YaWVBcFTDV0xLMKfc+mxb3wiJsgBYqwFX1pLiFRbPNR8iE1MohViMJXjjZus3a+
FsJ6b3AVrMqmvqqkfOBOjI6IxTBjiuk9jb3bxGJW7ZiYq0U2zeTIzB8jN/hqGIi0DkKs3Gy0Xb9q
VWa3JMc2yPo7omn56OgmI1kBVaus4vl/2TuP5kiOc4v+olJUlq/la2/RsA1gNhXAAKgs7+2vfych
UTQSFcE9dxRFDKZNZX7m3nOX1VTY4DvkDpnpmyPbfN06eb6GNXfu7OosNItxx2gyK0wZRSdszuzW
3cya/lUP1pFV6A4x92vuhsbakdXeNUmRL0dxVGbTDZyQfmV0zr01GtY+bDPmRjFHiTDisyDbe6L7
n9r4CHnwLq6DY5bGe9lWD4EkcmFkg5YP9WkqgoujlY+lJ3F3UtaTcRA6R59zkbMRQBDjZgIEumEb
J8VzXqD4ZCzJM9tAjguGej2EDjrJfrj6TQvNtNB4pnMyG2A1v45ma/I4jpukA5GWeWax9EeDxPeJ
ud/wOdSABKDARet8so7SyV5HQlW2wu8eUip2EteLa62UxGajXQ1GQ5L8Msg/rs78yN7rTfHTN6wf
tEFfveDLUObOY1nzgQ20dSs7baHDhHm1qTL3to+TdWhSVGshU7o07W9sLbnnpa6GTl7mzLI2WGnJ
y+01YzGn7onNEIJiT993BdYoKK3j3hrsB6MMXqRLyHadRp/ZACINfS9CgGHOlWvqycxVeow7zoth
rFlT/r0B/GeVpMzUf14lPXYFkeL5539WSurn/l0p+f9QmVUu5Y2aECh2xi+VEnGmJEUBiqYgQjin
JCi/Vkro5kyP8cU/fe0U6b9WSg5G99+SpP/C6IJ26neVEkIX3dJ1GgEBkp+FolLP/LbhE72NGh2V
yWW25QETGpr8go0Lh9qcYw2mdrFoldIzrXyyQe630zuxjcr2Ijt04FCb/MEgwYmCxhSHoSnfks56
DRpgYnl7HmdxCklJn6VTLxKtwHDOMKKZ0juiJpK1k2WkrTvO0pI845xX5XIWA4XFlBo4oCWT1Kwl
2sOUxw5v1ylHXO1J5QwofB43PBa1n7w7JELwELEoKS4l2MRF6ccvg+hVDg9zVbvqOJBIXUrEEF3I
T/pwioJ4LjZBy1m6OJ/7ROzJ7Di1rbs3A8DE0/iJiP3cWL4SQz+ylikQhYRb2JxHB6vmouidC/fu
IW3TcOFL+4mk8RVkjx+DdDZNjwSxFhq8Ut+7tfz6mGYg24bkJh7iTamJgPoGLQkCRDbytfYMQpFN
4FyudDs+yXoewUxjjvWTdp/bKRE2uDk30vGzjYZteXSzW7vvThZw7JuyugOItskwlzAQv7g2ZhBz
ZCuK8juOyfdCd2wKeG6p9tJbwTNT/Y3TdfBA+8HemWn2Tp38VGocKxkGWiQJ8c3U89ZVSXenE6i9
ahInu1bWHjWK1y5aLywW7Bj7m1D3NgGuEqQzzrCcuv4B9/Cafyb3Enn8qq3ya8dfI6hmRIiRNi4A
rW7tSJW3nlgWRM1UPZ9DHOM3jHUvXRUT3e/ETCrySAQagg+rKpktOc6jVTj3GkX+kgzIk59R3na2
K0n2YtfFguRew01jQ9k62QXunbGKH70g/8mgZZUHGUyh5CPO62voI5anCYHpyIvalYEYlpgXvAXb
kXDJ0gNfr1LpuHiRiijZlFG3mn3cqnOCu6PfJQa3cd6NZNEQveXZdrmyHE543S1fiiJb+3gxThJy
6bJKqVG+Acv5KBpC1lBlacjNFvM4YZwQfnlG0/RUzcl9UHYe9UvMxCDC7gQsy1tlHQvstC6OOlcw
67EEU0TzEjnuybbs+7wviJ+I/GypiXneZnmM8juoyYKacr6ZpvGjzKsHr+eDt4dwNdkz48LgI+g1
SrXevvdL774bgt1gshwXQbB3E81b2HzpFwjmNpQtyMlZB9P3JPh8h3pYxFXdw6mb3iAJUg0wYse9
zE+3Wn1oe22lJ2gCJtwzIgVCR7O1ZRiWrafkHkS6wGxCHM78piXTW9vjXBz7xySFTzV6t4kBSoyk
IgufASZeM9KuE0N7AFnuWs7tRk69c0BWObBp55rFaBUymSPmgWXSAcv5uigBsAIEMlcGdYsxNudU
185ge8EleFO+piR/g0y3m8rWXiJLmPi4ICCQheMuphogn1END8DLi2WlCiemTf7SMB3+PqqsGjq+
gfz7L0OVXJOdBgsqTCQDqXZfdfpnowo0y8kiJD7uU0nt1qgijtnzZ1nqF5fqrolHhzaTgi9XpZ8j
WEKrYjCgKhxhngI2o1Cscl40u1uQgVSRlionC1VYhhElZq+KzZSqMyD0bFdQh1ZOVGx9jkaLCrUy
O20pqVnnVl4aUucWKPGp5qlrSbwdUN0hH6PijVXlO3NWUgkLVRIX38Vx4b4BXz6UVM2GKp8HVUjb
VNSaM4tloIrsNKZfqVXhnTTBa08lXlORS1Wah6kGnIBiHTkHXArq91IV8jUVPa4vUJMmyPhBlfth
Vr/HdcpRUS4L+gEOum1Y0VMYdAroc68JnUNdeXgTku7ZUk2FIMpgpatGY1YtR/TdfEi2/IVqSFLg
AHUTP+SOuZ1VyxIk4nVIADv5NDX2d3ej+hyzdBZ+bVx7525oDnPwMkRHS5p3OR0RyTfXmJ13RKfk
qJbJoXcyVBNVqnZKj51PoRosQafVR3ApKtV8aaoNc1VDhlu/W0QWQz+flrRM73sWyq5q4mhR1jNd
XW4DvFZtXhR2z3B44wW82kPV3vQOW1u7I7sbc42l+sRUdYxGVcOKrqNnQTMJQzQ+5aq/JL727KuO
E4JjsjFVFzoL01w0qjO1aVEHWlW0+xo0B0+izitCvyJZyjR2rII/vQhKwpC3Cwu1e2a7z3FBjCGZ
swpgV8EOEFKPlrLhc3YnckdCr11HRNohA20OAWTsi0BtetFnFsJB01r73pU3OMM8762zJnQqI6gD
WZIbw+URo20PN5ktzkZp7zmNDk7AV8djdFu3GtK12jKvNFicED1pLlaj7RjM3FhWE+5yqX+Cdf6E
YPjOlQNTk8RWosxXmeeujETnpfN3bExRrJIxRXSeMIYOJQuBGNNSwMoeBf6LHDMY/IBP1gPrx0o0
BZy6GUeVpgyLzjHkzS7fif0TVnBP3NZOg0x9E9XuxSyJP4u6TCzJUXvi7ecWF+knbMBDzyCIyeN4
VzfONvYaJH+mm2/ykTCBqdZV8DHTF1ENL3k7MuJMH2xrWjmp/ZT51e1Uxe3CmRPwzM6mjqBK8pyA
/Bw3oi0f3cL6yeF62/pDviQBGfmPU92jr91wwIktOwuubAGOUkL+dGfsk06LhS7OLmyXIZUGsiOl
N5nW9djyfRjCdCWdWaIkYo4/0teXDqHJUWG8zQ2Dq3QYENDHHM6ec0OR+1LX5Wl0U3dZZNpaAEK2
B++Vq2XTDyCvq/7Ik7tzDage1SCV/EjlB6bnQXDVJgJoUHsM0uKZxe0LYFs1gnCfG2M8FyPS1CHy
NWIK1CjMDq/ZxLBZaOl+jg61VZ/HMNyUsHhWXeTdSRsjg6M5T13Zn2eSQsjRfk8t+8CIgN2uOZ0I
Su12Uz2h/hmdcyY80iMzDkINC6YdOavKtnZJYZwGfT52tWnC3sYK7czOczxk2a2JOW8VtpA+tIG4
v14i6OxRiC1ZLOCszfKJDtqlO5/rXcPiZVXr8bs7UMN4Y3frlvAP/bovtqHfNKesqmmnzQE/MvO7
Amlpkgba1s+GmJoT1BBShRSx26PTagcncrOtI4u9T7UF/K00Y4hxpHRHf7dj/xpas1j983bsNn37
+Vn/ZzNm8FO/NGN0XFwX8M/RPQLG+UOaPexDWiCHzBwb+9OvzRiBZcIx1Zzbt//pB/h3M6Ym2gK5
iWEYKvCH7fNfaMYQAv6uGWNs7YI3JN9YRfco2sMfmrF+Gnqrtdzh0o4YAq02eS766d4t+n4N2+WC
/Tn+WUR9DsPIfGSOgZIeYcWD5w5fmiSMl6UPUwjE2SEnsY6+c5G5WAOiOnivQ/y6Y+pCGe3ye8un
ndFJatgOCDu8jFpHlu57Z0YPTj8/y6x1lkbK7MQorSVWRqw8bomrt8n4E9VQxs83c2o88LtWQ4v3
kHWdpM1CIRrjcFrC9DsjnniyHEJr8iT8iBvvbNXBnW6NFxk2u8LlOOj76c6Qur6xPJOxp9XfjgZo
HjYPzsI1EEplKUyfkNnHjEKuwserW5x/Qyl2VJXZxm9VfgQ2JPT1pbk2E1SmDGIpgjN/F5TWY+3j
a5p8ShFz3TH1W1QksaCsnPaziK1lm0sPO+h8tf0PuopVzYnVNNnB7duXTp8jIkjJJbPMCJ/phLbE
6VlI2eP02evFvhfuxjVpXnxdXkPBoEvdvinA2oXF+J598C423Av5ZmxwQ9qB+gqj8L3rpiOhK1tN
xXCayMQase+C5A6XOTWS7dx7vEMBxouFVtSbIU1vassnLFR/T8aZoE/dF1RnisnqDk+ZYb3GHqlx
pTsg0UHpWHY0HFirjwImjZaanI6zTsQE0RRDHh9nM3iCC3xTdtoxrBMyZdL0k7Pzx9hrj6XZnUY5
3re+s9Ed7aXT4p9UUfbCtrH71mXoMoQq8Ks0OFan6UHvsEBUln/mYzoNsbuidFkF1pcoSaMzeDlD
N29KV1kVrOihkADNYg87dQhILHbtRZ0XP0xC68ysATc8jW8IDPl+CZI+UG2SToTJV/Qprcv87Ndk
THIeg1Z2Dp0z7Qqn/eg1dFaGNB9t8AhhFOGhCyoWGXi9RNKPxJUChKu1KV5psvMWk4k7XQd9ELe8
SXNOc2LjQFlYWGxbp1yzFqXUyGrEkW1eHgIswDdGV1zH5jWt9ibP3GvWRotCJUvJMInQPVkMaid5
Nw21vw8SVZm6zbglnAgNaTdYpGyJmP2CRA+ilV9EOrT+aWAFkN8FMoCR3mZJNT/17F2Thc3V1kA9
YsH5AMsMr4gWUidZcbG2RPeg410hIwgTcI4M0h/6FczPeOXm/pbdRYMhgNaxHer0EJWWq7QKAvqN
+Vr0NsgNpHKLVPKVzgcKBEl9EpFwpqK/V6Hnjw9eSZtCasdllPMHSw7MKqG3ovPa6EO36pIM1t8o
gnVOdQn1MtxAQ7sZLcRjZbScde85svMNpC/E0Z7c4ELYR3hAan3C5lTcplG3KXuY7LPWHIuyQbvR
twcLX+ZNmoxPieU88O6KbeVbN01c345V96TSY2uTcOgwGN4bx7oWBQwtHYOUEVTLWPU5FbMFwkCj
K5t6lmEzplDyc26GoPexVBDekMj0pOOE5N8aLA3w5lSt/VpqDizmSlvXZvI1zdVTGbvXsorOaW29
182MHYq8cQeuhdOp/N9Kmsw8Bnb+bagt9UC862N87xn5iQ+PaNKYJKU2cZ+yvh94QkzQ84NH2emF
K2fWLExH/ryIMRYVLQ/TxKPnzrxOaZBmiCwwku09C7F9Z4iDLtwjSvdTYsOhwwvQUqo5yBT6DAdM
hLy+c0nmsjKBUTRpPzXVIxd+RbRLR5o7PedNHvgaIsVu2hm5OMxh8IYyFprH/KRN+IzwnPzU+ip+
mAhBW9bDsCsbCybBxPjcDaufQ4H8WaOapRLMn0DxATIofyJfbpchopvHMSfvJzeeXKODgFbyaaBw
39CTkEMQeBwbwx6BUQAlpqMv5HYoW+bhA5bLLOW71mTdYC9SPWRyUOtiAhiehmAWHL/ZoPFs/B9G
1rTu+bsQ+NtAabBB//OK6Oazf/tAqoHCLmqn/QeY5G9Bnvqp31VEfPu5OBlrmMrY/e/xNGmGHrNh
3NaA+FwH0cYv42n/H6DPHDolVGiuzo//Op72qbAw+VPBgEZTbNW/UhCZvxerfBdE7N6wnjM04hcq
xcBvp9NBF5WmHUTTJcpvzYkvoRFMrOxa/2lEx7LQJ4PnjwfRm9N7cIrvU5lqS5eGmfxUAo2niDvf
5UFuEozAOqueUXPeMbuc086/UlU8mUP+1ZFiipQO7qHvvqYlyjKvcVRgx7zVjexUqJMEZLG/SGbz
ZtAxYqQOLo3KSa74omcGKnhNgEMsSaPB+2LYL0nqXsNpfme6mC8DDjJAkU8UKrc1B1zkBYLaC0QZ
R1/B7PEm4DAsBsU/5ngUXgz+Iu83GQenOc0EseOq87p9x8FKBRpAPKLrlNpzx9HrMxWzDf8m5Uie
8WSschdfC+FxnNcc3ExvNpWn0rc50oUlPhgxXJpEONQn1fQwQz2NEFIhz2vwQHAF2LEJc8+xyPPh
flz7mv2azQmbviFwYcHr6cEtIn/FaciNg6sHsQGR3+oyIhVz5XM9eQOnncmF5UxlQVi4faV/hPkS
snl9gHESYjnovi+8EZTG/CSGgQiRnjm9XNlVq0vGTSiSiRcJY7YGMkytVcDZviCj++Q5/Tpppq2e
jrt56J111yhRbhhuR0a0S/c72skWT5aL5zFzGcMR85TqXKt9O2OrR4zlgKxayKB7avP8R5R+1gHd
pUUQiW01+6nrjmPtEmkS57vC0LU1OUA2KoH+7CumdDKBz5f682SRI1xyRWc20zhhV09W1tyHmXUv
mHkP5cBpPm4ZwQdoGAI0FVGwwzeIUaUyj5yWYuFrpbufNKauc+Zdtb6GEVRpm8E3tnrUowZhh+wF
w3727WShF8ywrDBf+eoS7atyG0W4D3SXPE0j2JidvQHsynil7q5zmj6ntvFVmLxnsLdedK845UHy
RPLEK0O421GyOxxbD43B/NLUBNLoLIODMXaXKWiAfGwPGTENSyOeX3rMFrmo3topWru2cWTnvhJR
+epEBFEE5sCaR88xGtfpY2fVT1RTPYZLRg26mxyTEf6eKjxa97Uir3IBT/xcY4ydJZgeM2DEpY0I
4qdl1nU/bC+8N5h7uiK/mJZ9GUvd5xmbDcQfKFMqJwfLgxfTDDdJ/pGgLOh6BjzNEGyLaFBDPwsV
gT3B0LGJa0RSRs5vwu9uXuauIfzAMd4yQpKhNCaY+xvrIFJaC3qQR6jdOLuK1GVf4j7meXj0Kv11
9uQ59cc7Exym0Jkz+ZX/EWT6Dkw7XyNMUH2X8QUMHtN4HtdBbHzaiHN5oMQjX+MX/LeSY6G4aSPn
rvHND5+hPxgBWOUBs9KsEcoHagCVDXLuRAdug4dFFmP2mN5OiX+fsHpZSMgU+6CX+jqbxLDJHf99
DNq3JK1uA1EjtkHMuGoGHdnLVPnrOraPpddYt7OJnYC0YCpNdd2XufgZqAIALv7TXBQnMoHeBRUC
NPRpl6miASjTjQQ1yExRNpsp9fINK6jPonRnJKkyYagLUTZrKx8mMYW1o8qTWBUqgQUyicqlpYKJ
qGQkFU2tSht9gM9PrTNS81BPUAVTBSHo1xe2KoymMFzFMsME4lqrv6/878tbkQf//Mo/v4GZ/s8b
X/3Qv2/8/0kyRMtHarANRNMQCmv6y41PzKTBilq3iHtgfaAmE78upIH3+IxHTHbBFgvtv3Llw5L7
jxmIR0KyYzGm4W/BH/j7Kx8NC+MbTZ8vZiavFb448rAnYqnQfK7EnG2wam/FULCxRZ81+lcEaCHN
Fn6nzHceY886m0W7hxaGRNgLmpXrZtCNI9LmnhiwC3Bz+l2o5fW+HaLQX7HC1t45dzKC3L7JR+43
Bcn+BiIpNFKjIEmZwiXpCpxUdM7DoFBKXj9dfBsP6KgoSxLRUgV3aYK/BPD2ySzsbqHjMVvqNZFB
sJpk5B1ICCavt/lZs0PGY8RuJtbvSyhPjA6uRt8whWnRFgeQoPoSHkQX5F+TgkSRYrAJFDbKUAAp
2xgvnBRvVRqPK7tXkCloU5XCTrV6AMEbGlWog6UqC4k0Dfkie1oNjtUwkvIkIVuJjlE3pKsO4tVM
ZCxhhy4CZmBYwuiPdV8+S0XJslwuodS8Qy2/bm2gxBHKyRqyVsu+sVeoLRFg5iyLL0NH4QyLy2dw
u+jN7FSG2V5k0zWB2qUV/Zde2xPZfBNxUSbgs5mM3YWmJS0ZlsmuajSI29LBxVdgdjf0bmmX0rsY
EzFN80T10LcDVOeCKYeKuC9iupQMQebaw1i4zEcMQ+iPf8qJHEFTTFsyOXTilcUy94w9Ouhd19WX
ICW10UQZepZVXZU4V50u25LEq5rvNNsT47dsGhv3GJeLWeCCk5Rhlh68J+wmibPUFlY3ruJ8fAud
Avlkh4MSjzFKKYjokq25NLU3nfwxIDfYOUlGWorG/yQf2ztTK/drT2+6jdFJ55QOJv1RrhAYRKkZ
bVYcBaGgmP78eIXweSfRZbLLYW+Y9u7KyzKxzbWo3aR8/28YlW9dzdoTdXjVbXund8Z16OFPhLLR
V21jiBuzNOJTmRcUcshT1tIGSgtDU1vkI5MvePcBCxKh35SjadzBoHd3UdJvfVAB0xAeMhZ9LNKN
N8/kNk1QnF5wC7Avh4E4eSS3tfgexBSltLr5+9QUG6OPXopQo4aGuh1KPs84nXB/WADXx2z7m0Pt
vwjK/5toBZ4qVGTEMwQs/EFPXpqMR1PNF5c0Y3jwYduoVPd/+VfAhmHsS2ckdEOnxflt5zGRENNA
DrIumHy75HYqH3P/b8fXPxtM/X+SE/6PNdh/U02pn/rlklKuLhYuCMhROnHz/F41hYKcWEVm8eRq
qKvt10vKRzVl6vavuJ9fLil1f9GwIoABR2bR6fyVSwrh1h8vKebzSBRNJOb8PQX03t99O8Iam3ls
eulFE9VrGJEDNCMiFpO9TwWO5Jj7oak7SmaK6x7xJEBVf8L24TEmDoas2mcKX4XEe1kr1TLUhQ06
nodB6Zk9lI3LPpxOehusHI0nOBLtlZj4cpkihZZKE91r9S5Nmjdy08IF4UUfARDVJTmmDJrt8Tgi
rYbTVS09EohW+EvXzgRoQCglNlPbdFVn9ggoB6orEBbssZPugEZFxZ0j5zbAba0MBN6dUnpDX3kB
h4USCBF4oTsHoVTh5G1wsvQoxTMk47aEPZIjIiei4LlXqvJY6cul1AbmQ2jOY6U+n5UOPVOKdDeA
ENluJqVUr2AFLAzE67MMzy2QzBJRu+Q1MWhF75kZxv0QJSQn4N1KkMIHwngMprTdMOTKKELZHLRK
OV8qGQujjF1mThFu1PIZS5zGtTABgF3aQJHCh9aIyx96NVyn2RqOrddcShNBZoroTIlcfmAN2Ed5
ss3KgX6LLhXREoqdzsQSJAPvLEPjalYNMXbRcKFLdtZJAovFsElnnAlqR+zsw84vuntTkx/IRYrt
wC0ruiQ5Fs5bO76V8Ius0nlrJrPYdjUQHjpY9OXwEa6+kPlDqgNy/ozC+WMYca+ZYA7criyQr31v
22sR3wR8v/Gm5voOMjwRo3XgX6wsaA6THywtv1NKEwfahNIafK/1gSbdmPHMOjJSa/+U/f+QDytX
iQJM1AHVrBzQ34qB+ls98Hct/l2LqzCeP6/F/y97+yj+y0JS/dQv55xaSKL+xPnC/A1EIhfZb8Zv
HH4qqYjj7zuk6NdjztWptvHWqPvvGyvz6zFnEIqrctp0H6CL7/6VY45z9o/HHBRIX3ddPLeK4Gj9
4Z4tSrRv9hQ0Fz01HykCH4wGvrbV3CUjwiiWlfIQ6rA9hLWLJ9YsWZIEm6BHENiOXYDSBaqiOzGH
KibtXrfYorNlZDZntQ4CdnHX6kRzWD5/Vo71n8FPKfZ+WBuLUqYPtQuxZM4LDzHLeNYq8nxQJLCp
J4l1qY20vW5LWmCqPPYkZVQ3ep49UuvaZ7ef81NsGGT/OAwIw4BHzEjdrdX40Jd7qkhHYiqf6/xR
5kpwpDHz0+tmX5VgCrw2XDMiw61jZZ9zJa+1jlAzNexdYWoP2szwJqiIRZ3nHjcgMhWfoMwKW8uy
LoY1jUUsTiI0P3r5VpvUq+GOdPdwNfSdsSBeTilskpS+Y0xIdW3InZzit2HmmIfN8dG1wwFByMBW
kRdU98G+qck4waW6QM2mzaeuFYfR8n7YsbMv9NiCV2zrK4zDpzqsb6NsZGHZs+dCuXPBXJqy3+zW
wtP5SEy3WbRh2Ozd2qI6DrJ7IxysO1+TP0cjv2tyr0PFYaZ47GkbjKowFrCNxcZ0uMrKgGSjNFEb
voRVSK17JyOSDMwiawFxnillfj8mCHb0uRPrygSpC/kD24hPci+1ebUOq7Z/CFudpBHhP4ca4s8i
KreVHjOedR8tf34TWphvs4mpDcde3Et/VRhEAZcmDOqS0nTQe2PptBVCZV7LXFdb34TKkgQi129L
q80fvKDiF8NgKJPiMls14SD0ikav3fIFf/MLpmqAJXISfcQLc8lzLeGfaZ4Vr6LB/ByH7rNntblp
2pFdUeMFiLnsdwJP9QUweQjHysMRDd2DbYRw7z390Mfxazn7x7kSsJIKuS0G7VRNE1hh3VOwC+T9
pPtiLmqamzaeeXz6RxkG75Ukyyo3wU7GWvaAtwjlqtE9V6YLfaUNd54NFpfgYa5Bh66XRB8ntJ9q
qctD3+YOaJH5gT9zOFU9ifSjXxTrFhPlMo8I4u3rPNkIX314o4nm0QmclQisZyKGa1JxEQA3TZ4f
GqMbGYmjhZRTxBivodueoa69hHqgtFiyvo0ZFgCUIZ8on+DQd9kVT20MTgU2Ux8rbmHB4sks83WQ
EjXQRAkOnKlltxUB8yhiR7JW7/b6jGuh8uQeumC6BfKi5udQCDkWQcRkzW0Tt/D+KuzWLYx3zQGL
NzNeikGsM9NHOmtb7VLTjRG+uHTxbmOktUCWuPyDZtm3cegvYFs/oWA+2nV3KEwswFb90LsMD+cm
20IlJRCbcET0COKmH7uniEZdxUzfZlZ3l4TD1UvY/2cMRWm1Fwnr50VWxFenNw7WqO+mpnlsyc9e
VF2uMzMFvuin4ymBX+fqdbHJJq/BSjueg5qOOZ/S9TiItWuUB6MDTjo13ZdlBz+iUFysIib9pLyt
YuasXt+8B4ENfjSZX1JJdYHnw1vncfajyTANBhPojNYoHwtpHUeNoXrPWBKxmz8lV7C29i6ynBxd
EmDftSzGg29Hxd/jtH+1KlTuf36FL8i6+PzPcZpqBv99gwtucMfxQaVBqGAr9psb3OD/4uLE/Oz+
a7f2ryscxhuXN8sa/5/XtKJW/HKF+/9AZoQygRbHdJnBWX/pCv/2b/zOCcvtDXwO7ijFBN32H67w
vhwbOw+leWlGS+fh7vfDZDFJA/aGOrDaIBhHvdNOz64xm6smtH7WJlYIvlsrW0djE4+BtW1rUDGs
hhe5np+1WK8X3lx2q7Hpb0YkhitMDgRgFN375OevkqSxKUvvEyve5lN7MEzjviq54+NqQsVYAleo
hXHKswQai+Y+sZsrlqmfQfgZAmbT8TOCTmLtCqhOzphd7NC8kKa29qvi4CLESHBg7OcevygBph5B
YuOWoTZghfLLKiXa9tA+5Gjxyql+96Jp4TczEo6MaA2DIZ8JtHkBAhnTXhngoKTXckt5HUT3IxkJ
vZOJ3CH6IBm8QSuVSROZO+ftkkXkTZJVhzSxAHXV9VfVS2Z/WsGJmXqXCA8HQvbqEtt9eRizFtF+
xK3vZgyKElmHS18Pg5vGKfQVVw4xdJU1f3lGn9z0lvtzjnhzyyCTdyw49YVs6k8J5P0cF+ne9nF/
BUY5bWXeeJeGccradQc+tU5i0AvbcJlkTKC41iTZc8LZRj1doVP3xBGMbninh0gr5jIOF1UIeCzL
FdhqAAQZZSZ4nCmNd6Y5pmstioxtLNOZIBdrYTqjzVegKNgOBGKFcIBmxWoiBmJlsLHI8F7XZFhv
W9RW69yMTyKvjnMbgyAT+3YK51WUeV/BjMoxdjMLImzE8LPDJCICd9omilmrxwiwKktMa7eu/G0b
O7SKEKG3vgHbPwtrPDGRiO5paLxtV9pyDRUk3oG1DFb4HpE/m6Z2B+VZhZTzStlgMm5ilbzxQhZl
8TSg+inCcq1lnSDsJIkONlfmFrLg42Q0tzgA87UkiA8QX/lepASbRdJBo4EQ5VD6HMWwYqPFNKu3
KDLyH0Njx0+5jLj3FANwUjRAY8QTkypCoO1RVUpFDYx43xdmTcaEN9B2ycGiCAY3+wGehL2dYg/2
Yabt9BZ4r52u2Utxy2bsoDPFLMQTTkSkhbNDiwdvVSu2oaMohzO8wXjs7p0hS9bNNwoxNdKbpMjb
HTz0rzaf31vRy01bIspL/bQ+RwLmijk68G8rBxvPEJwcze23WGSsewMcY+QXLR6Ob0ij/AY2RqAb
cbZD3tWSRSDRjjVY57daND0S201uARbFpQ4EMlc0yEFxIX0AkbSyRES4VPnYotaRokhqlr6LTPOp
53pfNiGBvVV8cOP8diAlUNNcwL8/Atc4doXTv1AWfw5OexotjTElnS6L5W44dY1Lwoff4gWqGSqE
iX4y+G0SfFXfW18V7o+lmNOzPuhi0fvudSbOgvT02VOJNh+N2zBzybJ9EU93rBxOnQ0dqpC9qbLy
im0SKbNUL+0V5pxx0UdUQzX/ed4wcHEb096QPqh03dml08KHdAx+6EX3WlocD55eQmFN6mM0iLcx
cRwaB9I6+waXv8AnJ0DQwXwlkjJu6CdmFN9p058bb3gGW6+vmOHeItZDO5y5+R5LEf9lq5OBmKQ4
R9vi2MX6LvX6fIl5C0d8UV2Yr04LglQBhYz+CqH5ZwOyC/EYMY3ScF6ToMuwxeTjOTfan4Xl7vPO
fkmDzN5HGerMen4fRV9jih13vOh0I5m2I7qbyYJ0SZbnlPELjToG9ZSPZbgvBJGvDlNhwMhGFLPK
Hu5IrD3BrKeSj9L31vN3bm7eiLDcahCew0Gu+EwRmwr+t/0mPbDxTdR9NZFLgNnQgnWb9m1mSdaK
ZFxbyV1ATCN3AaA4czrKNr3LfI09s3xMk3AtHWCbHQrVLovItYD4D/UFy1PjIlvCjuChPydHVUeq
2fw/e2ey20a2bulXuah5GNE3QN0akMFelER1ljQJSLIcfR+xo3n6+raddspK26cM3EENEgdnYDhp
khIZ8e9/rfUtT6calvRAT1kJ9zFl2tDh1LqciyD7hXZxpQIRWH0ZCf51F+nMCr+ejc6fqp95i3jM
99GI+QfClAVJiHApFcg/jEZsx4DOqhq7indLXBfxzwAQAr2L/QaP+jYauUxNUL4cw/irouKPRiPp
9v4REgJiyNBNjTEM7gjy5Y9L3KZuc9MS+nxRSV+zpnfcTT0cIpU13WpJvQki98XErQk2r38mQ/cY
y22rOpqH1goyqAXKrSdAP1rT0ZrJ1VhdvsYB1OFwjS/sOFtPgXuJv03jQN3rq3pQN+noHQcDok1e
btzQ2/aJfpGoXK5coiHLJmTj0dnDtW2V/Rol8FWxiwMrGnCLwgyPjmTzKRVltW4NOVvH+1Mr6iY3
4p0qUXqV7t45lXHZ6tmF5WFV7ZtCeGeGyO5Se9oEY8o61/JOWRJeh0O6LCyZE7Pgt4YZc8nUma9D
GSasNvrqqeh4nskSG6JH4dJgh6rY2jZXyOCEo9b4QUYbRefFKqYs8mM91QgrHULvomdz7gMnI3Rq
kQTKnsM+9ruJl16JdtPXXMTBvSabEXj42lGjdTlA6JYEAqxB+KE5MJqZttOn8gCeON5rirUPoJpz
rMeWGKTO2ZCWhPYH+7rWYhs9quFkSCwSpasxL9zM3hVDz4F9pl3Kai0Kshzv3EaMM4qCu1AXPLah
e5MoLpdExdiaU/BKSBoTpDkuXc/GpYhRd6FzDUU0NbdlFNA8l+bqzeSSnWchsMuLYvTNsMLtk23Z
xjjLyJJ1WHNbL0toaDt7EOoC0whh5ARybgFYZo5IhNUBTAUrTF9IWHJRrzWxJBGlX3m15nLETdHp
3HijIMf6SqepxG/wK3NG1fMj9cKsAHrFIpzFNmegXHtHrRlQUNzlgsU32VYnYRwjMrxt2rAkFzC4
yl6jlo1lS7UCAe/tZ9nZplHeBufrplW5kKrUuplK1S3x/K/aqLdWAlAm95zyUFAGhx/+c4nrk+Le
4aCO4r6SvXFk3+562SQXw+bBHFfdi5aWOYe6uZ7auTynf65xk9MsG+nKMtx0g3UExsFXQrnrBrrr
TErsEr3iVYfmBbfoTU8nihWDZWm/NN+l7QZizllmcwpXve5xpiRPqOmtNwJEzQn8hjo9emKiUS/R
6hjjCy17cVQQKE/Z0yvcfujho7LmWFDM11k0jwxU9cVBfFsqExUwShgtEur8jLi6E9T7KRKj2sjG
P0H1n6IpD2QxYFZ2LjtygpkUN6Qnepcfu0ocWs355MztYaJQcKZYELc/FtcS15LsHCyafJOptBBW
ZM0MvNaN7CdU9OhKsI1bpFQX6s5NqqzMyT1UdBp6stwwkDWHBX2HsWBH2qXZiSY5BXBJg2MZi7As
SSQLeBmBc13a9CcaQ+Dn9Ckqir2dW+Z5VO8avwGliw3ti1nkHTln7hyRcjyB4WzyW9epaxSyuDHN
50fPpsqxy4lHudvaot8xk02P8MnO+mHe0YfwrFsVXZCahgBNO2QVJ9ddZj17QGmJ7wLXL2qMjgrH
I022SzZlNEKB7lZ5zbVw4c3ZuGkLfcq/Uur+veNKM8yv77iH1+Zn3h4e8+2OS02TDdQRjo1DnFzu
Dv6WE1g5SOGTOyeMrS+31W96gvVBauhUKqlgIhEU3iwjzA+AJtgOU5Jia5YO5+sP7LxfqFs/7CI8
m++PR7iJhS8Acik3vIELEvkJubLN3bnDUM6CLW5Yx0d65ju16W0c4T6BXR/WbOFp0JzmxFT2eev2
BHicWE8eYl3rg4soKPt6Z8ZtxTe/TwZ1VSlW77D+bZrhshiq8wpuz43SDLqHIWN21kk7tyc3i5JH
I7NgGBdTuKnUQNdWIf3QAQ7HMovJqMwcm+q2Df0a/GC/MwMlT4yV1jlZ+5BHdsJKeMxmfZx9A853
3K51Gl20PQ0tc3kdAv9UNnGNDXDVlWHDZjpU/dgpsKaKzvbRBhJCP1NNJBX/r0gxZQxjjcWYLf3d
TNUD0CdvsueV0faUJk66h6kw6w27PlZOoMyrwqyUltJNolX9hJfUr0DgXcNH4ItbOFWysosJuEwV
pd11amTEWLDxZhcjiDN9Uzv8eQpZ7c6D6XFbqsMU6MAYlc6uJkmt/jsU/7Uw/O1XdPmUPYnX5qn9
ydLwzfdUyn58D5DoTANfu4ki+F32Uz94noWy9wWDZ0lnwbfvqUvTGg9SbVwPslDizWT8FceH7ocf
B9Mco+4ffE8BzbyfjF2Gb2m5h2arY4Ph9b39ohahy3ZFuAS+GV+3Fcs07qiy1WA49I6YlkOvt2c0
AJUbQ6W53iMaWyR0RRhF/tzI1GyrtFs269bKM4jIhoNtEO9jJGRjRRSGsDVGNzK4Dv5eXxnG/LIO
vY+RTOoKmdkdCe+6gXHWEOZ1S4zlFvHeeqo+BvBHMKq7x1kmgMnRiW2fdftQ0s1SYsIzQXeAB87R
1k26LCoaNkkVe4OT+kUTozc2TzpsyaVLEFnkVrUYYkDlhUwpp2I+2sSWR5lf1gzj3iPQbI/i4BFw
HhxqOK382LlDRWomui0aDMaKlm+LYJBxniuQb2stVB50wtMh8XekTQcPSHVGAO6eg9A5nGt8fNa4
ESOyAx8KaiAQDAqZzlYc4vYyr62NWUavE0b8ibLJlesWtDdjUcbInV80w4hJMTSYSElBolWdD5Kl
G86DtrHSbp3YNRKcAB+QQixV9Jm0s/2iEy9Pe/h8Mm9OUdHlSAB9ivJdrAM3DJz20u6d26gOwlVl
Tvd2jB0jHoCbsNqGuV0A8jZiimoK3WEPPJ+asXDWWpTtR3Lx0ZwDUej0WztqtGWT6cHSLmG9CUc/
z8jVj254XZ+bEYMryuDgHuwpSQCVqevYYWA3Gdzibk5WHbH+TdO795HNCrCvC/g/dC7hpQGLkZcv
eBhB8Eh6gl5reOCohVXZMnfTNqYeSXJVn5vGeMWizglGBUsBTyC0w90oAQMTpNNVQqfSnWGRU4LJ
xi4GIkEJmSC37F0GqcDqo3XjhohmWdysJokz0EPOTO4X70Vh9d1qEMoprgZs3OnQ4CKPE2atejPX
2N0dNElTgalRo1J6tlS+dMDIheu4PjDMrS6FzbIZn1LPvInV0hdtvlI7dYmrhZUKemhpCGMZSYmU
fWhNmB8aYOr0UEcCrJmaFFW7jCW6YWVXniBZRkeBJPjTxWufBaLVwAQhzmZhwvfCyfqVi5i+NqSI
S22auiYLihc1nvvDhNYL+/bFkOJvhwrsSjl4tI1mV7W8l4hee2gvaHkm6iPx2Iuy5JuSSGnZiKpL
HOdnUa6qfiXlZxsdOqPSqUOXbssTLIyKGIJ76bp5sBvt8nzkoEj6Yth7evnJbGXpAoJ3bubVykmp
zFBGhdY+qYsPlnQD1FboR7OyQbZM5kddCunNWZLsWsT1mLQlHVx8DEQePE1Sgden+hhITb5AnB8r
c0v1gMICN7pTwvQ17fnK6AWNaRXSfuthvJJav2cAjBFZdlMXwWdPGgLCkc+dIT0CJch4cyTXp1QI
kCKsizNFH62jhruAuGR9PopJ4TOP9QDkWuCP0o7QB8zkYYNFIRrEUTQpAQ5pX8i8+Dpq+DRbZqjt
moyOAniSyWIMkCLSaT5B8ARbKIHCbS7mZYVPwqibnrU3X6xoBnmsSDtFIY0VHHawvtaducVAj1YR
UUPJv9Ub9Sk3jUOGP4PYw00g5T/cpvtACoLGPI8xRxOOIBdQ+pr71LPaYWW39LYs2z6BrCUSNrZ4
dnWU7aDw6ySmk8WDgviv3/HrTCBja78e269pX92XT3X/M2e+fOi36Z2pgFpTjYFAd01Nmnf+ngpk
x6HNxMxWDE/QO2e+KsU9/EAqXcxSAPy2L3M+mHhjv/5jmB//LIv3z+ndZWZBQATty9CCw+jHoQCJ
kSuAOTUXEx9JUj06BkNOgIWbcHWnLCI27SOppOjctpoNAADrVJNiWcyhemUE5lXa9K+liiFoHKNd
IsQhcrS1IHIOA2qpiHmfFdqZW1DtrZPzE+ZImM84UzERL4w+P9dNeGOhc9ZGyho30Ym6j1tnKj5a
Y0e5Xf3qmswnLFGyqdilwIAihZoMOzJ2iDJ3DTVvSBEnFIbzfop94ann3PM7qmPGM9udNxZ3L+IA
txbViQrvaJU1w7MXd8eADqKuMR6NkDLXTnYH2SzmvIMw6/Mgis49AC4UUWC8rs57nctzWR+bUf/o
mNY20rRzDwuMghUlwbdX0kEBa8Sv29mPVPHgxe1lFPXHcJiWonQ3aEQrI7OpuKK83PvcNp4usUr9
Mur7/ey5T9QMoW6B9E/ETmk9X1gttMh5o5ADzysKdqrmemonVgljfBFaDtAGXNqJfWu1+Xae2qvc
7Z5pujpX3OI8CuozYUu8Wb/Pm2nb19zGwuozDYbQY8HqBh4mTfPKifAeuUq1xZtZAI0djmnvAK6b
6kMdpE9GaV55lb2MYg5SGbGCXunOQj33Z7yUzVxQj65cJd6409Tgzszpm5RdLQDRF3UE0DYdTZyV
ar108voYu9lAnhvETjb1gV/G9pMjvGZT1ePGrWgFD8fqo67TGpsP4zNkJexcTUOZ76qdvIFIdOs2
yTbxiohuPnnBw3HGxS/5Yo/AEsOiBQagL8Z2ZymluilrykvgrV+lyH/7AsV02dbk+jUORMfRmoUv
JrxdGb2dC5p9SSYYc3Kla/om1dWWfS8d1QVBSDa0+DVoJlkWOuqXVvTOggLIetW5agLidjC3gSgs
v7Wn69ikpYD41EjxN16iuadLBy6vvhjC9pZNpkrJIHf9JMOV704ApZPPg4UBBBH4RtGDlxK/GknX
i1m31maTUl2QDn46iKWZBa9soY5u0n1UKCVIjk3fETmYzH5ZU4KIoIsol5cn6hzvhp4qJtaxDIAc
/OEgmqmfVOYzZaC0AIF7XlQt3MTW9KAiyVTCmHzylB55zCT3LQT7H7T317DyHotJv2V78Mrrx6ZS
qrSGTQZDbEUsJ8qNyreKhJ16ChJBAO6ossY33Jhuw3zPUunOHKfPvaPuE8/dA6UFuKuAMgqjOxBy
FNJk9TlssHqdC8ZkvVfsY5kF10WF0Bp6abvSpY7Xm+QzoPTfD8nMT7nOPymlBE2M1J05UVisk3Tc
BUq2SVSPyOwsHuaSLWLWjRex6jwTtXgeTTSxZqRda8Y7a9jC4pEZq9YGLazW126FLF4b+iYo9fuu
RsTlMsWymhVy2LeL3o7vp5DorKeYL3FQ577NIdvru2elb/xWt6flGKgg6oOPRsgycWKRPOs9a1Ds
wfDbdGAvDT6lprqJBkgXKnZKiLz83scguDcytoZBFTh8vow1ugOhZ7Cbq5nODbarfC2bwW15ecbn
HIfURgSYoXqrIW4H4FjazeN4tnltYl/heR5zfNUTjm03N3YD5RZRJ+4KVd13gzuzA/RoPQWasehV
3E2Rej2E3cEqohsQf3B0qcop6OlcuFgAfHtUzmI2t4tiSvGmmST88srxqScCPhxFabFuBmTfpVJK
CCDpXhDQItqZXbyOMmHiJ3GVjTrDAZgK4FkFNo0150oMgdOpylvsXZyITnEp4uW/oh1jgKWq7Px+
PYuQR+rbn8h28lHfxxCNfSAIGcPU0cfI/r8ZQ3T2gYhCDnx986ui92054X2Qy0U2iGwfoQZIftK3
McT9IJMSxjdBj/3iHywnKBl4v5xwHFX7MiDxElzs0T/OIfRzhKliByRz5sqB5GNTO/ssIqMLLnR7
aeQ5DiVF31IPi7jcR9eTGYKIZBfGERZZSAsgbg1Zna56rzPRekj0qgPdyu5oYCkS5ROrR5JxVvw0
U1Pm50bU+k1rQ3ENaw4fyWVSe3fsRAg35y2farel0GUCVxh7WKGIXQSMFSkpcCUXq6ihdy6yu0Nf
0ECpOfFHodmn2Cg2dsbinV62QsysDUmQCDVXcXWWpxkrYmmX1AfIHqGsBMVE59fSq8lkxc385CXN
ybaB0PTYL/Ag6pe62mXH3pzLtZtaBeixrPTpy/hsBOETyUW0HcVZddMrCwQLwQ9Kn2KEfpYXx1E3
P1ZFiFuVzcbWbAva6wx2HGkFuMkoWfrMLkWBmhgPxozWoDfza+8G674UB80bNhoaXluVm9ZoV01T
+lhSkLSIMBCBM1479Hi64YEVqQvsZWcFev2MUknyJSDaL+c8NH1XivtZVm1z1P6xTG4y1H9o6qeq
UQ8RroAgpyGgsfKT4FfaS+OAOsZNselg3qxdu9prVv5MvB7nshOcYUw5K0RcyDtiYe9dQ29O2ohp
6RGIHdDy1ijD4qTM3VRtco1bXaim6j3rZg82q0hfGLJxuDR0JOj9i9dGa9TtkLYC/jruh1eO5+0S
LhR9ooLy4Sk6N4vAXbHFmtZ1F30eFES1xJ0emOJvunk8aUJ7NJpqr5bzAyAmb2lbLfjy0PwU6+N+
UMPpUdYOL2hMdJYmxCZXNALGEzZYqzkFHuC9xlXOiOTfTDFvi0srnvbQvQhGiJzAHrGVWn4fdbhA
Uttbdfakbmfns5aU5kpGh0SXRcyH1Ahnrn6eMoBRogR8L5g3BCepVMwpgFPK6CWEZ0Pz2TSv3QGj
fcKeXFfaB1qaoI4GNmFKJFF34m6O0IfbWHLd7ZRiWDNAnFUuEffumWD2dmVomEWSWwaXcEXy0cFt
jtfXc8kcEVxyUgcXd7kvOIkyI1RgklxrEdnp5zbqLqrcfBItLqUMn3E6Jee4rw+VAVeV1dKhGIjp
EyEVywSTbhORsQcXMWzqMZfFrBykdS97KlL3gTbBVZ5JJHv4YKRGBe0ClA7Q/lGa+W8dJboeiQ6o
3nBfR2a8qyJvN4/1gW7m6hCU7b0N3wLSybVi27vIcC8Urz1Fqv1amfN5njdgBvlszjaIjoqRz4cP
eSVAA6ZqSUNzvGmSyFsh+BcLvj32YyvaXaQn/VXgimgRFxmAj+FgdxTZ/ntr+3Jrs37rR3non39y
Y5OPeXNjU9HEbOQsl+joO9YNopjK4Zpl+NfV+t83NippTMh8X3Wzt+oYNzYNdJTHX2nAA/+sjtmQ
ecf3fhQcv2ToybQydb9PtWYd352xHNWLLinvqTG1oNkZygGPHhsrV6tOFlmGbV8wlI9p0K5Lqu2X
HSCLRhrZh2KkhwoKy1lD/+3CdLkFtYO9EaQVMnesjs2sLCsBuKZzXzTBIlTPByZdDloz1CYPehNM
VrZ6MVp8C8im8Kha4exyO8B8MpHWb6gG4wxWVS82m9yyr24bzayWJv4TVPz6JZMQqVLipGq4UqME
TIUM2sVJhUUBb8+8VAz7ENgD16gvwIpBCcCWAbHIoFlMUC2gw7wEuTus9Ymu81CiL9zCA/1SKlds
y7NLTwIyconKyIzGwhrvOH7AkRg5nwB+EUxQ4LHbNdA2WqgbZCXPXYnhQBS7j3Xjpiu9ylcgdVQp
VcQEFW8bASm6bne9TR1YDlk1gPKhStxHElGRAf+jUJMjPCBwqOEhmb0bjaMd/Ap8CY2u3lQO4NmZ
X0IX4aHIJGAEX87T1IMcQeW8x8JIyVclz7sWvQ6mekk7qAbzIz7F5DMWSj7QZz9NarNkBCYmz43C
Ls7dOT4IrKs7I2mvettDqrNU8kZN3i4dm7QitccLpmzfmdMRF5DCPaGgNbxZeF3WpqgmTY4FE7+w
J53DGTn4BWTeHSZd7xhiL9ZrHCqeNM0qwLvI41twunAj15P+OQOjQuHlF69yIuFC0r9cFA1m0JTt
LCSAdF1kIPJCNhuRdD6rWKAH6YXGKU+X11R+proXe65W7vtGP6/KqqAgYMZLHVOOpkl/tWYpm0Q6
rgXWaxsLNvbcftn0WID0iPYBGfxpQ364GT0ECxcTt4OZG57KMwnSTc/4ujcL5aRJ23c0rXps4H09
uqxKCcGo7Gx2Nmbxys73Y2etTEzkk5ZemAaJFy/DGaRiNFcxnFs5WhWsynIZYUZvutDiZetnQYVP
XXFJytS1XLKq6lWOmV0d4k2dJlcxJne7zx4GtXm2pPtdS1kETBji3Sbt/cYeZAdccbRI4LL8Vfa4
lc2NLR31vfTWF6yy1Fp7IUyD6x77fWXo/UJo1bpqZcFAN9f+hFk/DWZ1KQoVqWd4jvhZr2QFzLKw
ieuUenVvFNXRg85gu+U6iQwaE9gRdOqwxlCdU7M41EsQTeUyTQAbTWnNyROmZjFZn6QjZ6jJ0+Ru
clYHjY7FPU+XbOPwgLePblIfchBwWjrfaUp74vVR9MoBzxs8NlwFJ3y998NZDBTcpEe3Rh3oZ/UK
0M3j1HnVRWjKeWxUxj2qt7IjeNow68ZnIq2vzV55jar0yrULa8n9Pie5awTtLnD4V+Ymsrawm1ZN
wAoiMUAF5zltMSrgYtcw7WWttTN0TAf6UsmHeHIxy8Jmpme9pRpiKDOcsBk1vyFeaV3Fv2KpLy7A
z3+PkH+ts397n5Xr7HXzVLzE7ctPWuKMtzdcHYKc5rgmYFsqUOSt87vMbXzA+YnxzpZK9pcM67cb
rsNxkSU3Edfvj/p2ksTeAoOG8+Vf8vgfydwccd/dbl0SMbbF/yTYBs38v96K3Famqm4SNPPF3H2s
aXbskXvenK0vvzpb3vYeyn/hb78LB2X+VUJ+Dn5WTsCqKV/BG78LljW7GpmFyd4QUVVh0qPEWJ+E
2P7+eX58J/98nndGVvbKFa5KS7uwoJ5pDWr1p98/Adi+378TpIm37yTUUGR7husLfXTYAd463mdc
dGyULrxerLBcL1vxUPXbPr7syPRr8WsSrcPwUi9PXYHXFAZYTXUKhwHZBGCe+uR6yCN/pF7j969U
ogd/+zNnD/H2ldIgEQBBlT8Lg/s7o0P1sWd7VGrmxcAKktoZ4MmfHSI1bK+x3f61WPplS69cdPzj
BcBwtmyVXz+L8ncySeGGWidUZ7pAmGY+07wmO0sxPHfLqTLraunh9+13ievum5Edcj9caTA+Gd9K
bJyqMnPQRVbRq14Vsip9P3hd32yy/F7Pjf0QqIRSdCXRbkeSrxsj9RIKTNxuUQA8amwkXJbHuqjX
Wjf50Ns20Xwh7HiVswMpa4VFJS1RlBnk+iXRHPoFCTsi8rY3WGKPRpdR+GX7giCRTmwWBAtIvWwx
JZWfWjesqWvfJjw016wWJw16UE8llewe2E71fZvkAAwJPAzFQevMU5IcE8gvotDL25yW0cqYjVXJ
mdi0fRMQaiJwU1txaPpmXLu+6hISKtPsoVNIweTMCp4FvikN/5Ihf/kbMv45Z//wxX9PmAJHTxpl
bOcLdWNsg9181n00Nu6uuWgX2lm3rZfNita25bQ2lvtmn69Lf3xQduhAG3WDxLVOvuJJf/mC5Jfn
d5cJjEJvP7JmhmySy49sme5Ii0FmaDAcr2v1P1yOfvbJfHs5enfBwxozZ1HE89A1kt2Mn+qQpoMl
awE7+Hpr/OU70n78EX+9Ir39ErwzEHm8/8bwYv0iMpbJZTriFsXdvhjaFfuP8GL4T2/tZ1dATnRk
MOkMduGF/vgjzO18xPRg6FRUY6mZn8l7//668rML4NsnePezo4bAKUSo6xet8HuIjANFG+N/bD3+
yQfh7ZO8u8p6o2fPmFP0C0+QJ9939o1uP/7+ffzslvT2Kd5dHifu1Q3wF/2C+CkW6WGh2ldeci71
qC9P9D/t0T3GL03Zlp+7/y3/5ZeSUCbiTvd/fvxj+/XP4WvpP3VPP/xh9QVue+pfm+nqtcXs9W23
LP/L/9e//AuRezNVr//9v54+5XHBerRr4peO28t7fK4cFH69Yfdfs/86L5ufxoZ54PddhPHBQuIn
H+MSKWB58GY0MkkA0yfA6v0vVNE3B6BJoIaBwkJ9d77V7v41GpnaB4NJAyaRbRsWkRr9T5bsP37a
EfjBGpFPlqsSzzBNSSx5e0Xqgj5ps7nQLwtSYmoanzlhujTEtHrzk7n853ykf9nV/3Dpww4sRz3m
OYPE83ujocLqFX0+HS5RENMdtzvXXH0RpOMc0DoNVNR0OETBuvLCm/qzOq1uHZ2FQQWgYTnkeJ3S
RksPOPY936AUbmlMxF4UizQOPZD39NFVy9yN2DXLU1PUZtcc/N2lXmWXgK45hDpFTJhGr31XEShx
BFVZAriHOueUSM55ibw7A/BGEjQQswJbrOEWdn4P6IhqtJFNqPmRaq+jZ/YeDS3GfQRKFi6hdc3V
6krJ0doVCwIoZ3eOjsnCdr1d4wkY5Tk96p52y7YxIzAkaM2Uu8xedCdLmdeD2X/0XI7pofMY5tND
I412CO8syqf40qI503byeA3wagsSuNm0EbhAo2luSzvcxi6REC71B7Zhz8UQpWuR009jC8BIWTmy
AaF+e5FhdWJMmB+1PBfL2UQud5u1O2UW1ifDr+30sXe0W6Ik1Ljk/YLiqSun7jcWFUd46xRy0W3O
C2X7g2pMclq3rhUAzARJ6Kx0vEevw+NmcO2vEVvb3mTcIvPoohTx+0s2uNs+u3Slcgmyjoro2dQW
xLJr9A6N/nYd48M4IbAMkRavUy27rLFwrw1j2NCMeQzDIFx0mrnxBD/baCC3pdiW8KsaSZrkM4fs
q7KYJ9+Y27vYRpsPW7YojDjX7dDvNCsVfmOoLxhMkJKH6S6LY2szGjMjLnSNNkLibObmk5bpn/Qh
Q8eglRfa3w78DuVAFOiQXz/lBEc4X9tnjoHVwc6Klzmp6OJso2VulzfICdDaayfdDr2xcShp0I1g
TTzVa1Z8xFB3TUJUGpGWJ5YcYbOeXYUyU8seWZKoY0rxxKQ31GWYQ134qjOsNXeQWdRm3GeZBW6C
KQwg/a4xjU9EhXYcAtZixmhII2kl7lLLkIlZ8jYzk5ZUCUYt9tNE3xk45VgCnnfSRunWT4hiV1qq
vLoev6aaRTdSvMxIi5sxbDvwIoNPTEvbKblF2nsQZy4lyL5CYNqigonEq4jJ/4bDg504LUmu6hjG
MGnbakSIw8lmtmdVAsWra7fD0N3PAea4kf5hkaiXSVOSbuIraxTpJat5GqGVHaMKzpAwiugdmMAQ
iPiTPUz5gg5FYzH22lXU2Zux7F5T5DL65EkM29U93a8wgHaR2RzSTtlOtvM0JurjbE3p0slwxkzZ
Y2Zei6Elu93vq5I6bAW5pmiW+hpLY+SZHbY7YzXQdCkQ2xstQvaZK7ExnKRbqxr0gFCYj4VJRGcs
Bz9QGrJRQ8VGqriYyuGhKRlB4sm86zrVPVZKYtY3ZSKWoUv/ybbUqbP+T5fRf0xbsn5GusKwiyPc
ynP228t127aGGUz2dImRyFmYm2A/XpfHXdItlKfiI2aiHUndRXBA0mGhsjF2v7+M/2OmkE8vWYkE
RHSO0/LlvTnmNkFvCcXu50vhPFXBzlPxVY2PlIr+h/n1Z8+jy8Aohyqbk/X78ajjnhWPYr7U4rOI
sxPVJV64G7Bf/P79/Hj34xrE++HnyT1Qo28BLtCP76fGw2sBRlUvbevQ2CDicHWaH3//HF/ccj/e
+XiSN2/m3ZP0kaq2OvC4S7Fu7wALrcRW/UQJNeSmY85nbHHFGntBoHR7e+762eJccPK4a1fB6pTs
h8W28Zuzzuc/9Ms1/1/d/f71yU6AHw8lvDxTp+HdgOhLIOHd68t6KkOKSdUugXSc09uzUo/ax3AP
AxS3qz8t9g/aZlye1+thyySZH1CLT5zb1gD//t2zfd2zmXzAfz1IXpfIlD9ZsMlHfZ8isYV6lPLa
DqDMr97P7ws2/QMrLdfALWoYMsT1Q44EmygfcybGL4iZt1YN1dBokf5m/vijvJfmygvP3x/yL/UN
jusincnrgu68X7GZbk7pZK9PFzDVmksnmfKrWKuc+zIz9f00pOnDRLxq7bIwOQ4T1eaCIJSvWYJl
vzd015FaZhs+iPHBpqtq5Shdg8+OSj/47OeZDDgKQwvOLDbwJxiVPF64qsl0RiUUzPxxq7jeftQx
c7dd1G01kmG4s9RikxRkJ+kGBctVteNjDg5uX9b0JpoKHmu9UClYd92KXr/pztPrZZQZT1OQO/ue
gX7dlcpwKNIS3Ho5ANDq4C6OmXqRGj2wyDhNl56NoB/FVOzakkLngRaG+jF3+oLOntcKkrvJYiz3
KbAJpePyIRrDAMulWMZptQd95S3HpEh3+uwBbjMd/TLUwns1neCrG83arArEwFpdkb5WNp0dzjS9
9MaeagJnhdH/QPtwu4s70/NVmkGppSvMlaCeYmtrdAvEJJD3NZBLqm/FaW4I3VawvxaEi1msW9Yq
SbHP6aF3npCYoEGLn47SK9FVPDAY5rHGRrPViY47Q7Wro3aP8/Wxrhy0hAz/IGkXIC9kwqOwnrsl
/PkIewSR8UyGxwNS5CT7WBUhKo3ky2HlEDSXkXMhw+cjKXQcs5jlVIbUHMuRPxT0DJBZZ3I8UWhm
LNJx3Oik2vVkoFDJlFH3hsw7eerLkgy8GrZ0GZCKp9h4M8qYvENePpDBeVtG6HGehQSbLfgeRX6g
TPLVkoH7luS9iMhstwhhS4oNOAvktLiS0y/I6wvDOktG71iR449koH+W0X7IakiXyXom85/PMR2P
UAA8U/beSy4ADs4KToBLbMOfIQfYQc/fwBLI9ebZkHABD8oAI+QGze22lviBkeayBSVJ+aL7kp2t
U4s+UhxW/YtJLSHZJKuJ1pQWn1EWWfGtyOP0TLPrhqb7KSvh1gQG4Z1mPAttPf56r/+fPtZvXsvz
p/y1/fEY///zqV5uCX99Mb6EJfuzUJ981PeLMaE+DwCxiYaPruFyx/x+MdY+mJ5UO1QduxGX2O8X
Y0hguNgQQEyH8vSvpv9vagcMZM/RWWbJYcQ0/tS//+OUyMWYywSAMl4FgA2EsndjmokRtjCCic14
NnTpFgA7O3C3To/Uuy9NGZGN5o8BHjO97rLNQCBPiaMWBFawsEjwewHRnZjKmqar4DCVeNAwu3im
euiDkA7OcWeMrT/3WytRHsowpD+NQrDwQks8DpBx6+J7kklejX7zlK/aAuPMJ1pjqHiVCzUzcB8c
M8hWrqF04KU6PLr5llbo0DcscUnfiLGiJRmrnaEeZkEdMyago6m69gKKzF2hsPfOG/U1rtrPw6x/
wrEOiLBPoyWtfte5O8KzGc2HYVI+NjNQchI+MCtt+GGzd17Y03QARHNl/1/2zmRJbiPbtr/yfsBl
6Jtp9E32fXICy0xmAnD0jh5ff5dTRV2WSnpmNXiDZ6ZR0YoKKRmMcBzfZ++1dSXVVMJKnyK61Wgi
4Bftlxv17KkXwP0DJCwLRj0oHL1MQDwtEtWslsr+MLIXF/9B6y2r1qBebVQHT4aahdOpzWiDXSOY
Z0zFqkxs0vu1PY9H1dpd+GamTjRs00kVB4jzCfz+MjvAqdfNy4IIozPVWyPCkYa9Zdpy8uY7WlOY
6q1BcQLh0IbSPHa3ydyAJFtydTtUtgSYNTQIFGANLHLVq1bHvJIGDFhRZoCYG++lWmCtYlAYt44i
P1FVmJG6PnG5mlFoHoURFhR/nG/5bDorwtbGRuI0TzAnnsKc5QpVdekl61W5GcO+5bwf/P2kYhLV
Dj7UTQMhFMOVjY0q67+skIwDUgB29Ay6pOmJ96Hjr88KQl0bDM2LLRNEiVZUB0abT+hDNH5jJdmW
NR9VqpOO+KDbdeXK/CawwY2YhJhWmaCbJqSwfO/k4MyyoXX30Ko+i8kM9xQ1J6tGifzGXyqm1yAn
fhqN5VtQ+ew45tQ4RIbDe2MI4HYc+yvb7DK1MX0fsrUS5Xs9l/GqalNYqK42uAdCnUe/Gs/xyFom
TBLol0Zg7+vOox2ePtlV1LpfqeM7K2dOvkzh2PvWmDGXGEth72VIekEFgfNucGwTfShATGgmGM08
MOFqZ9gSgTfpy8W7SNVAn7/znYtPik32YVyystsmMliM7WQHJE8GqA1fORUYh8A0rduK7kQsdn57
7vANqLNNQ5QypgcAmtg9DZQdgKPZrsqbp1lgajSWSE8nYwX4g87foX0VcfOco5uwUwrHbVKQQR+K
qlpJwy9W/iyfzLLCANum32bMI5QvxsnF3Afs72sQ3Et/m5YdbfJeruOVVOSEvfeJ0/tbb0S7MQ4S
lATxNcpOVwSnr7aQp9zJXyZv9Pd2K7w1plh9iISXvBXHnhRMxfdU9JqLUwQPaKM3jZmccC36EMKq
K99wPiwvfB5yMW145N10iwqOgVKHamnv2yV8bBIvImkJ/6LpNYcLnBsMkHlvQzFdU+UAeqcoz4QX
4JUkd7GBq8iPo3rV53Zzdo0F/UDSAV1aB3imp8yPrgN7vBQTRNSZgle+KZjpSz5slI3l5GPKMH2H
hVt+87JOHmJ7oK/Z6ZEsGpByuGOom/SqduXgWA1blzPL6Es8Hc1NNYp7CrHGvdSYurgEWDdpdF2m
IXa+xtnNovN2tUbcRdUY3xYIuNREteK211+eRUPxlP6PdpqfIKM03BsYj+7yGIweFCyaBsEa7FsN
2RPuFO5rB/DeohF88geMT2P5Jg3oizSqj7piZxtqfJ+n3K9WA/0yZzmSQbym8ulcQPxze1CE9mhY
e1vjAG0NBsw0IjDxXWCBGhvoaICgpVGCssbMrOGCkcYMWjbAQaIq8kBGBDqzxhHmGkzoJTkLRw0r
NDQnAU55fOtqlCEpDZLBGm8oJFMScdQRniHww7KAqcMx1f+/2WD8/zfqaOHk70edbf5/NpUCXf4X
mw9e+HPaoaGB/j/g4LaDYovN49+mHRPpgJuppV0fehD66e2gHZDkIBsPi85kFhz81s9pR9MNgHEB
QQ9IQGo7xs9Nzr82CSyB/nYBCUH9z1fPgH8PihhhRTQc/r1/EnHiaHKFOYAud6qnUbOLB76ygpXL
ypetuhGLJhwj0r64HF0Um9Db2/nU+QaceetWDCVXKnil2YI2aIBOJqvsbxTG7nVNdxJleyA+C81a
RoxX3NH6CrpTOKwhiIzklZf7XlOa7SlI8EP7jyEAZ9TMcuctQLl94M4IUTENp/6xS6fnSNd8DrK+
h6EDNFuk4cE04o8SWPTEwCOK/qoyWNJhnDdXhpLmbnbJYNbApnMsaTz4lzW3xjMx99eos9gd1u05
wfppDHG+ixsP/s/oGSu+ie+eysSh04RrNbnzjgjjp1d5n4gIcgPWktgXYOxwsl/Y3JenuqcbD4Xh
zRqSWxp4aD6W9UdYFtcZCaPAHvy1SLyKmlz84lskr32GSW/vUnIApXAXV9D8ooRqXrf49HJzO+lC
hCqv99QOf/fVeDd6WXwgmBVgqMchklG2Tm+hoNtPTNc+cahVGltPKfULg+5hcCwT0pfJBbXULQ3c
kvf5MB5tr/tW6B6HxqbRoSfmtOiOh8CYn4IciObN1I7xRd1NjC05Umx4kdDIu+hhJ8KpsW0lIx51
9SmgK7BFRQpIoklleKx1wa+dWY/wCHnW6/Jfi/63Jc7s18XwVzWgo7B/6L08viK0UJ8WQ1cIJyI7
1G61HWl4MgnQI24HAAEgKawyI33ShAWIT7QSM+7KjR0zjtS4hTZu1SHbiuomlhHXVcBYwHQefEEO
cZTw4XsWclQgO33JWzwXm0hOz7WbfvfpXIo4GWmxanheKfhLvujfqCUkR+/Yr8LKv7HWoQQk9vdz
6FR4YuXBMuAz6IbmiapmoTubGw3pKrMNdYAw6rMLL/IvzZ6i54DG52IpvwxdAT30DG7M81AqMwyT
A03RzHMvLqHEmQbpPOkuZhqlwXZ865BpWU7R5UcJXEP3tEEH9UQX9TzSZ9tE1lNcEHpIVPQQ0Vvd
Sd6h2oqdnV2zL8loty4t5zXyx0dggsTT4lyCLGeV46fGOwHFu1HJq7hWoPc03d8frkfTubN1nXaB
yVbRr+0F3trBcBOjePTeeAYY9B7P3ZNek8WlC4HXpZ5rOdj0dtcGzkoqJl9cppq9jEUBr4sYC8cc
hScN43ioMaHRhKkIgNGLoi/cDofLzLaOCVXive4UHwSdmo09HmvdN84HFrivyO94rL7Xupvcz2gp
X7xgb3XS3sK0DLZRh4vT0q3mVUhIRvecy7qQR8g+66mFvK770PWJyyllVtvMGW4qLEL6smbseorU
YwPmvElqxOAt4Ey6tWfvUvbhB1ZzndjwHi2PbjSnkQQOIbYOc51sKn3EqWShXsW4tyh1z3W7u6XF
hxbcMipifigAU5i6Cz6GEEcx5vTcL/G9aTjvvu6Nj63gMhuSaB/HQsBayu9oOVM8mgHizZb/bqU+
k7ruonfo2J51O32RWlwngnmXQQVV3RLdy4ZpLFXmQ6nb7XtyUh91Iq483XxftZwRafpMw9a1CpND
4QZfC6uXbQd7BdyuAf64oQAsbV1BxKpdiucCrnR8uVjcRDpuqfRnu2c3UA+hRqkrDVVflupbtaTh
lonbBra2vFDwOq38oX33OtGsl17dOGl+lUBrp4H22wS93dQYd7tUJyBQW3xJ+bbv3Fuo7Zd9KNqV
pyHwEhp8ABXeEAq+tgbFu3i22CD1DzYMecTHU17JJzlgH8+4q/PTLC+h5s4381Phjrf1KG/4PPAm
QKgvINUvLrSHToObB4RL8Ds9M2d3X8K3N732RBX12TGmxxLaVeS4Nx48/DrEgx/wi0mj8v3cYx2o
8fmhxzUmZehalwayJGfsZkzrQwl1X2n8vl+0HDseg7xG87sa0g+pH1x/LY+LBviLbDyWP5D+Gu4P
3Ns6QnNMN6FG/1e6BCAzFOk6XQwQT6yndVXAj2HkHwFK29D+fiq7T1uwgFX/n0OZft3PocxCZ3JI
jtB/hefU1ZurPyQo+zcMuFyQMLvajGb/O5T9cJVgvtA7tUDToxjlfrpKIFIAmwrZ+mqTxn/ZJ8P3
/M9DmcNlHkaVnv08fhTr34cyM+rbPiNXcDMpw9+VgzNyb3SINTjjIfERMId5ZsaB5HzNH8I4GzkB
vZXHCXLMA6N6SWk5usS0AunXtpt72XvOwZ369mrMovp7Dcxm7+d4zJPcB1Kp2d3rOhRMEIUpppsW
Xvl1I6XzKgyv25kRtTxrLikos2VUEoyrQ2Sj5G6ecvc6Nk1xsuIEt0HgFY9dMLuvNPGp+9Fy+8uu
Tajp6MuqWfm9gBrkztWT3bP5xINvfVL+mL+4Rl4eYhdOAypt+zaA3NomRkCRriI46ctRnftkqG9H
WcJ5o9ovTuN6M/D0Gq4TweT3URGdds5mGS3zxNIh6/fm0mGdd+JQJlc4TQh9NFFbKsakWldh4CS4
T2QInoatKKpUB/5uvApQUsg7YMifHO7+Y+Dj/xsYHTe0mOTsVkQpZrKN+fwuB6spuI2FgFuj6dUb
9d5DMK1Cm/bKXQwc/TT3YAxoA1je8Iei3JVWaqCGcCej2iLcR/UQv/NJStdGuSxvUZssn146vSjR
7Mo4PQk9bhSmN6xHV9UHUY+xuQrMHiT8HIgz7tn5ItMmFbfjXFxNRSVygFRxumuLzoYeNADwqbPm
2fHT/JhjobGzJjnUoplXiTGSnISigPLWevdBUhfHTtAWXhu0Jk5hY2wKC5vQip1A9RC1BhI2ZRrv
wh/Fyc47pjkKB2Rgio3qBoL0QrTTlrBw022mKAWOIar2yKKqRCkM2iP6gPctpvp2s4S+fAQdJi98
6ZAXEo18hXMPdHTx54s2W6rXpZ/EmQ+vthmV47WMVfQSLMX4WJJL3fbVlN6LdKpvkoFK3TK0fUqC
HGdoV23rAA5BSuy27eS2mxicia8HF+9gDdZn6A1gOeyTP4327exBsVoZlWd+ErpZdk0KqCKsW8aG
MXD/OYt/38zqaODfn8XXpB/iz/88ifWrfp7EkDgdfJbkFok//C7r/zyJTTDWDByWixZPiaHu/vh5
PbZ/Cx2fxi+XECLJQpff+nk9tvH3Ye3jXOd0/2/9faxz/3QSk3PUj4GQK7LFDVlf33/1bDQI3eno
G9GlCk3U/CXPwrXZh9FZTI1xLv0WKVQYc//NkckJtMsrtnbwVL78sAfXhNnnjv4BrYaIe2MbEixl
U28nmcKPhTdZPcVqgHnBAwn4fkmHNUUGqYfWTJXTG7ns9LNDEWRmL91k47bAeUsKfEtKyHdJn0rI
KXlrhetcOcOuUTL0TrPPcBeCtW2jnjt8ltZQ7yWgztVEGYcI4on0M1s3N42wg1k0dQcmF2mt/wob
BnNOgeAKFYtDQsWnvDev66UC5G1Aux5vTXu5SIbwENniAurZ0YyT45RGNDrpCq3FFO6acqF+Y7VO
clE73t6oxY0cGnlXR8GZhQiN8XFQruOwNS9KaFtrS4zZdvakZMMsWCU0/fXUtdcimwJQLyjxM19q
irgRWWN0Fvq/8b2vU3tWX5nd3ae5cY95tHDXAyvVG9EwZdoOikNT7+LaS16qlLr7jucXPV6Xg5Pj
nqqSL0DK4PVqn4s4vWlUO27C2S5IMLvjrg6ajkXoYm0UfOKy4Y9b5+w3rI7rDNSTjWWWyfUQj3TW
17KHNNfuOgpOKJsg9QWEDBkbA13IEFxbjNupuARctoMFRUNGXzuPLZ5IesLZxVIevoMcma5yIK1c
Lbns1H79yhoFIdcUYarFdiTXdlZy/8tX8V9K0K+ZG6afXywHgcO5iOPAxUfpYRMCMP/vH2xpJKOR
YfC/soyk3tn5aL0lM+/TOGekGv6ZRTmxsJAxmP39+Xcs578QB/Vr/jj93N88DjKsvbDPCT6hG/5y
+rEGZQD8l/eEg+nn6ceR6QEV8T19OIWBjkv9PP1AFBMT+9mSqAfHP4mB/zdx0PzxIfjVl4JVjsgX
PwOkSY5BDWH79fSzk7w22VV1V0XmwZ/X+N+pKtiu3+J4XAb2nGECwWzrJIORcKkZ2JC5ZgcxmLqk
uRzXzpzismiCtJmvEZdc310FPfMM8srkNfRpuHliA8dAmzYpJc1TyAEiYrraiCisym+L8nrnxu/7
UJUbnxYRmr1cdyQzjHNDtm/+Ampz4fIKn9NYT5MaAAbR66L2sq1D+quN5BhTvaST1s5jUwHsCLgh
Nn1FqZKTyWJjNuNw5kYx76wgLa/8POvvgDWM70bpujUaXhK/D46adjlT0AW1dtUWQ3B0JQUVz+g5
yYEnEUa0YLTnW9O3KCLsK9hfJQOlyfV1o6L6qwI7hGHBstQbJR/tOu8cC1xZ5KKFuLJ7sMamWPMO
uuQv83A/JPl4gWTP/mJJ9zmrsTtWWfSkwUSCHWZMDigtajzcrhMIesZ8pZA6dxludCwvZg2lpEXj
Y0cH8GUZiOpEBhdMs+bgCcPE+mYvNXz0ZcHQklm99c4ywj33TRsf50y2L5xoNutbC197HcabJSj6
677PPnhLy2PDgXJvtqmRryUm/EuHnNDKpZbyaoZLsolnN71y07bdh7TqbAmCB1dLg8OnYGm5Jiqv
1okdzx+ON+UX3Pnbp77QnpJQgkATqXVp2ybLRy9psx09rUg1U+PdmjAkdmnjtjd2CiqLh2J1xvwI
YL7NTtFcLJhzRbBr3Hn6GgnUHoK6iE9TRc5/5UpfXKaRZ5yKtMV0Xs1sTrqu96gfDMp9HVNAA2Wf
VbarOOIXK4xOuRLeE2rFM2KydWGJoL7mx492IsNS3VaWA+xOGdfzkmAwBgJyjNMSBQaJ8tJp6/ku
UcEIu3RstnPaT9t4WKJdi+Idb/45WX+crBZX4r8/WS+r79XHXwyWvOiPozXkSh5Y2sPBOR26/NbP
o1Xf/l3fsimUtb0fsPafRyvpECjO+EzwcXL3x0ny82Tldxg06aizydsCUsGa8l+crFoq+OXpqz0m
bFo4+Fk28+/6Pe/xixW4qRqnCxKZ3DT0ElIqkI0ox65/beIEUOinQoPMs7oaPRqI6sUIN22K64Pq
EcpPdxAmze5+9Mw4/OJkObB/t6O3OiuksR0xgcHCsJ02OpnUFAFvX0A83jhZSbkBJWKJzr721gSk
bnEX9s95G0b4D/zS15VMs+fRHNTx3KHlYe59fAAKJ+GBvSE35Vy6gl2Nr9xDEyt86aWGj3nNmCuC
7Pqe3WPX8LdUb3CVzgJvY/y4ibvUMf0+wPwjcJl86v7+o3/xlv3FlUq/5ucn37J+w7QEHwWzlIul
9NeNo431isUPFljb+J2n/nOowEQFYIiSZfxVxK2s//3o28FvHjMFdnLf9GyUsf+KS/YX0HRublpc
I51ucK36s20cbR6MflO619mQx2cRF010P01Z2Ryw4WX7UVe0zLqspaG1BT03PzrKHdeurnTJoqI6
FrrmZfzR+CKRuwDhAeHDNwZVtACN6jI7jxK3QUZ/rQglPccL0QqMpzuvYAkTs5AMl+DTlWgGwzzG
G/xJS0HXcXwuQQ1JkEPiB3vIkv0d4Z2jNcAlyjWhqNWsotGU1JZUh8Wu9yMwo0ZTjQzNN6JpbuAr
oQ7dAtK0DT/9CKcHSCRQ7Ef8JvcpGD+kkReh2UllVJ0bYEpKU5WAhL3kbOkR1u4LsEtxGoCRDsKE
McWueeDGrzzwjnZQb6URvdrAm3TQfDUPsI8zTXZqdS4KQ82KqXFYKwV9xQcE1WgiVKasc9bmV00O
e9WX8WUDPEoBkerYVBFD4uLSAYyvxhGOdn0qNHmqqLqDC4oK+y+JLdhU4QLyObPko1/DrbL9+bQA
sgpUcjtrslXSyWOvWVeNpl6FM2xvzcGqNRFLAuRhyHnNQGXxKK/Wrq2WXTxjc4jr5AOmM1gX3Cqb
0pz3bHVPuaZv0Sd8VWoe16jJXDSSPdVR4mxt9YW0Zhw8TfGKYhzEMcgYij6+hCZ9OWF43eijaNEU
sAEcWKC5YAJAGJvY25yYUDhgBXO4TUvNEnPjEgqG5ovN5XIKAI75DED0KpPBNYGRObBm3Nj5Bm3/
tgnEw6DM17EGzKbAmOH+mHUzExsSLlOFPx8yzTxTP+hnYNAmzUMTphtT6R3vJKi0OcGhxrC9o3Dm
Y0ZVxjWk9F4u9dp3iLvWBSNuQv9kT/1MR/oi34zu7Oz583uHYjanElJHCv9lAEfr47TySeYUnAYb
etLLkO06L870O76UWKfSiPgD4dBdKLDKYUUDkQcXNDnMg3G98GW4nQPp7zMRsFRhDgSYb51sW9pr
5NOV3fCaJa0FOhyGYn8yqi0MevzgbmPT2GnOxpZk23QsfOGu3KZKT0EwLXt/cMdtleLznZMRoW0Y
dmNXfKDqXTcDfmUOqUsbfv2K5p3bufXjTZvLq8YDbmmZz9wU5ntliuy1pICV3R0LF9vEuRQp+pk6
PpDKs7MtDIHV4LAHnsoayDtzP02DeMwKCzCeXxLmMsd+uCoch6RVhaFBzJeZNQANhjTeN5Rl9zm7
fitt31Uv9qZdA/8B7156GJEcNzgJtKeTGefBpqpZ1VhBqb5ZlLCs3DIYt308eCsy+UAFEkRIXW26
E3VerJduMT4a03qRRRHtQpCB21GNwb5ckGGyLHf3VcFeq6UhloKTpqJTTf/9Rl6Bwh+dmzDZ5+N4
lfKNQhftYb6q22TkT20Il/KE6mzO9h6NvwMTkLcruSim5jBYT4lfc2ZAR+6WnOwgUXyZzLuiLCA8
pQ6uDD9cV4F7DmLc1WNt7FM3ezUGte9Fe79kw0BWiN1uQjysNLPLtlfxbu7xhKU+qOq6Pnh9+xXb
kdaiqn7DrpYvbJavrMtgKh6KVuYXYTLcoHS3q8pha1hUeB9irADccp5nlPHRqfHBBp9TZZlUFxSn
LhuZj81pDx3k/p/h+Mdw7PJI//sJ4UGlZdrN/zke65f9MiSwATNM9lVAV/7dhG3/5lmcP66JfsAY
8K8JQSen8Wv71FngGObj9IvswKztk4b5BWr6XwzHUEr/YzomVB1w0oX8Dz8K/6VfZQeBTdBraB28
Kc3a4b5l9RBJ5j41Cuwh88gGd5pIsKzA536w5vi2VEuyn0R57wj21rb/Pg/ERese2xA+gaYmwNwF
HKO9418ZndkA1wVoTe4FE2oVDhs3npOdVXs9W/KYIHKUaXQzvbhRdd3O3XehwxBuOH6nWaiiOrxd
9yGhhypIzxMuGLQ+eSnq5kYZlbup6FKCFOwNG7ylOJhmBWVZQ9B69T6wvVqKbN7jf38Xk7lLxs7k
UI0PPiJLuWRYKjLtI2/GVzrpHvNu5padmfe2273EgWvtQ665HFS2dx0jWrCwD7sVtnC1Nef4zce8
u29dvsawSG+xD15XTpOT07TuCfCRLu3T28niHmy4n05X7G01vrVOenYsYp9K0AUXWGfF0pwL1aEw
1EtPNqSaekjGWfxStd5LKAljVBvMZB9tGH4oq71WS/rsVtNHRoppA3li2bDQvKE0ECuyOx6KJMWk
24HSWEhT7+YsvcfecdXX4mqxmwgNgV37bGHMdJugOEqTWwYSEm5fAw6eO6IeaVM2DhlWOZN5lokX
73F7e7smzhF4emMbtNOj17KFHOGthH53Ciq6ToywuK5nBz5JxvCl6tLaz924DwZZbVTaJ3RI5AHh
6kRtpIE87w3RtHV7C/Jtzu/6s3VQ8fgUBf4uT/sbz+ivjQpJS4iw2Su6cZBzAlp2CR8RE1pNHY85
ZAS0dEPRnuHSZmeJaM8XLVqPUGANH4A0fxX8k+pdCnUHO/tmjI1jLH0KvC25dyQAGForQv2Izxbv
scNRaxTxU0t8l2CbWGeLVYHC8TQjOkx2Qb+8lLKp8ZbUp8ivn0WPmzxvx0cRgkvnpTnhG9Fs7SG7
n4U1QyDyUFRMsHOtKNZpVV86c3idOWS7u3kidVXRIzwN43YKpuraH4uY74oKNrJKLSolw8PY9Xj9
aN5566JabjDORhtbtVwKM/ncZ5go0ke7M3M+gSkoXXI7rOb6ddD53b5sCT1h968Pk0kBjl0Z57ke
L6HTLZtCYqXlonqLxyzZzmWzbHyruEpLYGYzO1UUf6jDU7wco6l6y1i+6M/avWOfxPyVGZrhFqu7
iky1PU9ykyT+NsDQiMvyi2sIPV6+86UW45Wh/MIY86sal5Z2ZVJ8KZKthxlrNRfNXQIVOucyQDD5
GFQL9rEwXytzgtU34SwLWl3XOH9ZrfpGDe95rLrbvBaX3SAz2iu7DZDBS1xOyJMGiyG3HC08w5Dt
eh6La9V1X7Uo8NUxYm3yyX9LG/UNbdigd4QGaauCTDmNgXfq9I0Gm06wzqXzAkq6YUMD7GbIvY+O
ax84WSvdcCCfW6GodW/7fpcsw6mLmPwJwt95yfQmia+taidDq2paOhbjzly3DreswtvQKUCXSTLd
dy45AyJ023xKRqpaU2tblq7iS1fxlQi8y1xBM66m6KrKcZ85fTStfeqduTJdV3V4H0bOwZ5mQisl
tiByVXeMCVcxIKxd3AX5C1jzdB2RgxdcPdd9rr/YrnwmJE0CbBizHccqVEoreZ9KFIPeSXfDWJ44
0O9mpxoODWUaXKt6RlOyDTqaP7j4zRID0vHQ2kxi4AOioDwlEXTLrMkpvhhuU7qrVpYkeJGC+vMr
ZW7LOOe1w3DvejJgMu7f24rlTVgrgjyllWDYagQcTvFFOyDPi0SlewwBt2j8757Nd7vJ/QCGZyDW
+cSKDLNBeWVgVl+pqnkxafFZ431gap8n3KxQoVYJF+BNxZnt1qWxk0QQd3lXvfdh+kxqzVnTIbOb
yXsypGIS5HGn1iP0DOLyRrzDbsJ7OqTc+OzxEMYOzCjKB/jSQIjqneExmbPbkWfiupNYPFO3lehH
3DJyMfNxCyjyQg3mE6ttHrVY6D5g3Q52qgL4gV8wNrjqicx7dGFf0WPw3a3cGxnXn5N2jLaOfEEH
wqGEG2Hl9eWFSb/ele8ugBpxlfg0jZOvPwKwVmj8Vr/NtO2kyWV+bJfmkSt+s8Gm/ixoYOjS7vvY
5Lswko887I0z95wSUGt4bNP42k+bB5qiDraAcexjXkfgrnq2fuMhcrlw0NW3qrQBBlgZ7A/f/0in
SmwKBQYMPX/ZzVVwZ0ZFs+XSBCh/mUo6jKCiDHkfHQ01v3mCD0OXDNYuy4IHWrkQ6yNxSuP4jYF4
AyQdaV7WtFxUvN6vb6oM3ijuh3jLve2jlrhBqIF4dQziJ7Lxbozee6rYbUZ1Ph2W2P6SBpKXPZj9
CoWf0O1UJjuPbin2Em2GyQARrpRmB+5txt65mK8e/EsAEul2qfmLVYJTO5lJcEmfAhZPyDejtC7p
JEjWXRrJdTPU51S7HSg/2M8LRRW97VKYYWQHGQN4SQN6HYzOgkhhwVWttE/CC4PvlNHBPA3gZQxI
LuuqgJ5SGVQhYNbmVPWeC7bVILIjgumNeOBe+qhCrqNlyjVhzC/61kQu6YMOJkhFYMZJ7juPug66
m7npEzEqjPDRKfubOB/Dtd1247aoYT03Ht8nm87UKeaGYGXlUTA58YWUxnq02vc6Lm4maiFi3i0e
IfLQeDT1siX4HBEnRe19eYZ4EHbAQ6DQlXNhxsYWDp6VWx/DrM4hT3I0IvejJUjVBFRHlLFJ+bFd
bmitcNaTlz3HBQhYfLTWOugRIESxi6N3I4gvGAwIszh0tpu9PNW60qbuJYvQtDpGjeL3guw1ho1D
e4p8MBUew7oXd34BDNVCfnLC8Xli5mJHscDrq6ty23RIp7PLparIGv44DvU4wajgtFXOOWgqWr5m
fIx+Q7XYOH4RAS/A3PhcfDJ7Zwz9S42jG2uviTqBjZ7PwqXtpd22dCX6b1bfeyl/R65v2oyXE+e0
gkjvKFojPOdkBt2HLGbK+FIAjdMP5cB4RNk9TXP+YDmi2IwtR6pvvA8D9N9gLG3kHipvKEG4qFu1
Kw2W7cZMy0lYU83VefIzZDZOBrz29VR+LoU6LSGyWqyWo2WVLylFOhR7PdYDAPuWKc/POPqShk9m
EhJRYlHID9n7e2NSX6xycH9V06tdMPNheaTwWr6A6DlGJHHovniLguxddv2141A0l3bmJi6mHU0w
PCntBmSefzclGOJdbAtRU91PLRt5JzyGriD8LMky2es5xcUw28k2IRpJ0O9CTdWxT+t17hoDPRnS
pBAt9q3sNi8X72WuUi+4aoQ78H+4XT1sZrzPvVuL0z930N8XNBgG/v4Oevmm0rr6qwYNzXn8eQkl
G2NrxVm7deAv6LauP3Y0xm82Sxs2wihB+BT+uIbaYE8NxzT/WHKDefi5/fb1jsbEqcOmhhCv919F
Y2y9mP/3JQ0uCXwS3D8Bm/Nj/NkioURm+fCVrwsDWeYywQz3bTKNJDi61LDHN9ANaNLsG++blzik
WENRokWOkwBus/jtU5g41X0Ypu6ylnY/0g9Z+t1za9N8wQme+1svgdjspOJpsjjAGW6ddW5Z2dqa
PE4MTMyYqvvBe4jz+W2Mlzds7w7htDuvDUidesbeyov02ppRfczM205DtOmFOiUepwYXopimvaHl
UT+/ZQ2dTQ0i1KrHT7JqiYGCEghyrM7BLi956orSJ4/Yh0cnBtQzYG6pC+/OGdy7IvXMTWb73+do
uloCFW/gcb81ZXNf29a3JECgqwjd7mj2xPtOsdM+SMNiXQ1VumY5dyc9/4LyD7ic2S7zyvyCZzeO
zgxidAQcwWl9Vv+KOagY62BdL9nd0NSPjbPUl7ai/HLRDCFO4QkPOMPA6Gj1MWes7OyJnCSD3UVJ
CnfxoTx7dAa1Jgyv3lCfS6tmtD4doGv7Qw5Ki6P/YGZkin1f7kh2rh2HjS8kQXo60N4TyXtAmo7x
aAjcQ1ryK2eYeojh1VOZZN/9MLsNnAT6TP5hZsmDVzHPdp10LiKa1lFJKb7kwj24fkIZB4DXmC1z
bPs2fTPOXeJ5D44Ckh27/nevKs/LbN/Vc0CbiRGgpJU+vsqhkqsqns7UZK3hUyNTV+U+T3mQW07P
zG4OKJflk/TafON5Y7ozp3Tr1RjdXaxHYmRjjnl2B0xruOppgUWAaMGeKufYZV7xFBTuRPqxv10G
xEvXTlAdeuYGYdgbOfePapbv0TBCS0uwGbuOsaNU45nuvBef9LqlzDfqXShV1T+GMdyJmaV7tFzn
zDJkf5nxmAXm6oo730X+P+ydx5LdSNpkX2Vs9iiDDACL2VytRQqm2MCSZBIqoDWefg6y/qpmJtnk
VM+2N21t1V0E771AIOJz9+NufBkH8RwKN1ml8aityp7MiOnGNTa4Yc+IpIduHh0yinAdhqezQHEe
FJsMVG114VyLem+ulDDNuvhk5cnZcMu96YpLWzlk0KYRvm+bK8Uonk1FWQSWzukZf5fI7F3eijPG
PQPYVbNXXG/lt0W2wBV9x6z7s1D6I8aSV91L7qra3mq2OEQt1C41sAWtLC6p24zfgTLZr5ImtLM+
+gTeesnIMxVnPvxkEw0eixLNSVOTs+5plwI/CFyKz4yP5nTxqmxmmYwmRnKpm8w5pEawt5M6fQgm
SD1tfTq+wVTuFdnkc4tE+sxDsZvbSfLSAd9dMvm5apX3KJVsmBuGDprPZTTgjAeZ1sdGo3K2IaYv
kpfa0HajxUU74N+E+SWFdDD2z5VU1yZ4LiOXHE49eWwsBgep6XDsiNOFqU8WGA0FyQp2NHAZ+1Ar
0yu0Tq/a9a3GgXhM21miG4D93AIqTOQ8NEkKBTdLSMoQ+qpWhVTrNdEpilbSjKbt3tQv/WDukBq0
U8CDNec3t86pDSnAaiGbitruH8Yi9W9KTZN7PMDWuuYrwDysyI3GhH6W5xjmZz5TH1q0RB1saoX8
MxFqLj3kqrZSIojE/31N//ma/uWo+PiaYqQIf4ZP0t8Pi+mjx2urMzMmmcD/9Pd72vwDDBgTCCa2
0yQZh9hf82IwH+qUbnX/NFm8z7Dy+qbYw0Zy/kdtm/gV372kyX6qFqWe2OccAQUEcuT7WbGNZuok
uq+cNYXOo5pVUzXHV68L/FlsYdtsDHjiWrQqBz+RazXMyxu3TJSrbrcKMWqb9P2N77uQ9V1UlQVH
npL27NAevjB+YUZB0oxTHfJMVEySjU4Jpl9xuidRZ67p+px8tUg7PeHUZZsr7qpE90nzWP3iF0hB
FAfkq2ySh7oGoaqdJKM64/9rTDJSE+vlc/4mLU0i0xi01q5L7V0UkYrqUKKsIAGogDbV6M3nhNkt
gz9kKzkJWBIly0HRGiZpK7GtJQsEtQqT7JWUkb/Ex2KsywEdlsIMQlZxD8MAxcygfmTp8KKe6ZOc
NhrdAmtrdYkqzgVkleQTL7/hVtMeQjLqqFTxKSz8gKY+9wqaiWgX2t2gTmUTLI0Eo75UIXWUDjNE
s5b1zJmkP3sSATljhLv0TRicJMJ4qNRl9aYbEgXuWFARE9vc0Wf8LMqZQxNhKjTHqM4MDr7mrpjk
yLjN+uvIss380IyvPaplNsmX7iRkem+aZjyO4YpXAII61epUGkST+llOOuj4JonSx+osqjehlLYS
eAwuUZNbqqnzdRtFubrkxk63adlCWaqQMD2hOMfQxGc4g1kFdJF/OT1qReNdtSZ4koFFDVMqXvwS
RaKrpL7UTPcp1mqffCLlJG6SzKkiO0gvSCBZDWepxvRmDMm3gOLFwvDr84BuPKe9gSqr0gGExYR9
qjDelm1h73SLnB4MBkIqqH56kqzNgP9wS2eu9RZhWPNNBQmbvOMvUL/pI2Xb6eaxnY4wA+RQLTOk
cbGsChBjqQ4+8YbeMuZ6hUcvj2R9KAtXZUZUGmd6ncWqLCzI8yaLuJIBWSqnyaUzNms8oM/keRa1
2pNTRGDfUUNvkIvxtZUFjOaEJWOlJO5XGrAOIkquWdPce4pxrHJbZyCi5KdBYZqqi5KNTzZuppn+
LKkteaeS3KW6/bVW+n0o7T3ehcMQQAuzI1rs+2EpsnHFZz47Q3qwEnSeVtmDNjwk8HJAclveMXVy
QjL0aK2awL8Nht6HsyW3ZdRu4oIfyQnYC0w8WSWymfPFzotPvJsTbnju22xC2PAyVuo2mQNXmWtC
bl1KUOBivCQl/vOMbGbmfBOEdBpwVezqVyRq5mpbARPU1Zu86hYBoT8bX6rbQdollDMLaoshZy/v
HVBnbNruRatipordTJw9F4u+54zf8kK7scZmazfOgiq+pah7Awdov7eUeE7r70sgjLUo22Xl+3SK
W86litMbJ9O/ujHPcCKn0rjhxmQ0vsDrfhwKcsmxOc/5jZOIsaDJvMmHV9uOKiAvL/kyDsNdN92P
Whxtyya4jFl/Tpx4soNMQ/WNnWTUg3B5jszXJO1PAyXi+jhsU69ZKA4bENrG2SxugOzNkzzaiKpf
KRbjQKmHX4RDPRHttwrGhJjp+5Bn5zRX6XtVszWW4GiCZ1x0Wv7C1t/00MoILB3adlgNMnwpGkSg
uJ8XPCK6idRQgsQAU+zV8rWUr5nX3PQ10zdH3QyqIOaUPlqFvagohYEJBd6a2Zinn+E53VbAPzi2
IOr1N2bv3skIJ78r0ckzgGSJWc5duuLIPCsMTNWV4ybfhiI8scKtBuYzVeAshIODw6+CraENm34s
H1WtZovl3ArQqU5Q3fjkiJvkawonu1DVgIkwKp4RrkKRr2hwm2D8RNiGuW8QiS+DY9YaN2w2odzU
M71Up9nPLFfVjeK2G6dSVmogbyMrO9QWHGH+praHjVlY+dJTsLiqzYpH8VS5zkozqh1sKi5YLP2c
L6xPK6rOKYvgAPula7JH/ihz1UM2AwkMty2igRY2AJ1JSH1pNU+JjjGF3o4UHWYDYfq2jFeBwksi
yL1i7jJWJvptr/W6fUia9LnGXTTk9ta27WUe4PLJ6nKTOjCICZxhIHQprGrByaoPWRnd0LCx9sye
3WbDd+cu/bTe2LXF3WmvW6u9ppnc5wCAW4WurdDeOL13pit4m5rJrvW0Y5BBN0ibcJXI4ZJ76pYH
DHaDc43gEGAAecqFXAyl2swxft57pbhWZXVOK+sGr4xKOq66bSaJgJkcUGLObZY8SIsYi0NJQCf9
YzktVGP2OMT1Xi+tdZ7De6g7zufENrpp05PuvTy9L/NhB79qrzDzPCue6pGDDyEiV2Y/H/V6V1KX
M3bdvMVLpigRk1ZxH9WJvdU7puZokE9UXnBioy04wzMVal9FAnm3Lh7jMtiqunZmvQ2Xahmvta7a
WyMUBY2+v/moak+BVeUr14jvEkoxZ0Ufr2NDu8AajDjN5rM064wVZrKNFwvGqQr9VSMo7aqc234H
M2LQF7GMllaQXnpfrCOv3/UM+HMlXypV9FJjvsfHzXTTA2UYtfayafxlSZJyrrBDiOtmnkheEtjd
Nq3i0MJirXB7r8kBrEK1X6YZBOKkinoksXHVAwVCxNiXNb0XII7xROXzlIFfHcbwLogLQiXgXpc8
p7h2tGwrlfo4MiKpyvxL45RLP6rcuSd7wjlNyUSZ1993k6ffJ13edogMd+CpAPF0IZ283yHWXVmW
dM4rZzXZhIAfsvhGoTPr1xeZkhD/Skr8uQ01NCLFqoExCBn1/UVCJYHObWrKuXc+l926a576DKfM
IsGT9Osr/WzD+/2VPmQyMg85YfS4ku4QbeW4ZJOPGreZ+BQ1zyFQ8F9fjknbjx+Mp8kydQ6DzscP
pjsZNaYy8y+t8lw3+wLWivzy60v87BOxW2azzGUIPH/47jyBq8yFsnBhch9164ZKZwlCJPHXIakF
vT79+nI/+UTYIji0YGdhqic+nBjaVFT6oNbhJYRYFhpYlv11Hv/mM00WlQ/3w7uLfLCwVJ5SW8Lj
IhHTtLo8TIC7/7+PMX3M7yzkbT0yAsHXdynzo5iaaNFB7fA3F2EC+8uP8eGnyeMhztukCi89hTWB
NXdDaA8EZe0neB2iOusoV//8Y2FkxaqISdiCmPT+Y8WhQ+tEpIUXu7hCNqXFdWt73/75NYjFCJC/
3Aea8+GrQ1dUBOWx0YUu3CVquJ2SP5b3v77Iz746w4asZBKzsfWPVStZF9h2GPYRv89TKg4BJ8WI
xcAF4tHsTYiDnXf99RWne+rjPff9FT/8WIHLZjbXhuii9sqsrR7wef9mMZhs5d9dYiq8oI1jCuUy
ECeCPR33v7/pqswM4qDXkkt0KLf1lpfnES/v0roGN9acgsiVM1dWv/5U7y/5trKycP/re/xwSZJl
SY9AE11aAcef2aPusihkm19f5effHYN+nFfcedaHW0KMmrDrBDGJWsu5ru0dRM9fX2H69j/+OibE
K/zzZEzsjzd2XulIVFg+LzZHX9pr2G0+hyAV/Sj6zWf52Tf2/ZU+LHC4fDE82CK6aNZr4Fwt77YY
f7O8/fwS+APh2fMk2R9utVCLW8cE7XRJ0zN0u1mPiUtvxG9edT97hLjZ/r7Kh58+LjHhDT5XCeMv
UplCx8vSXFnUX8b1RYFnZf3mN/rhY+lkMG3a6BCRnMkb+f72Jvll54mdyUvdrrHmdGJZjDe/vg1+
uNE+XIJZ2vdPEOVIfKFBIS8dGrym+IuBiq//5BIGTHMyGy5ztveXiPo+USQnrUslvyjjFpHgNxf4
4VbmMzhwU3hOGLxB/3h/AZZOu9PSMbmwz0saC91kG0ZsTN3Xtw/y34iPyV3x78XT2/CVAcOP/t3p
3/pLOtWn6arGGcrBSEli5/uRrPaHajmoqobGps39npvg/mHbwJJwrf9Jt+EP/Es7RYolxDFFwlma
2Bb9o5APc2FugX+tdlPADV2X+BHiKfNh0kbvb5HRCJJAz0L4NI4KADgZo6XQnjP/q+pyasTOW4r0
EDpAmsLO1Q9dzj8vdfssaAdpyO4Lx7+RTfNcVeMcKmy/ruLgMeXEBj79xkgpDEGSmFX2Ezko5ht9
jf4X72vLrji4W+C+/OYe68IdJYJs8FzCqkWh1Qsmfk9eFC6IBe4tCJ6JVryM4Oy1aHzEKVHMedfs
Aitdun1kY7cMN1WDtzBKx0d4cBsqgpissPj0dvAU0fo6OtnBjYpHxubwzyz9m9KlDxDGP8Uag1uz
sValq6xGe7yEbmyj3OXr3I2aeeemCyescYrhfeC43wE3xCCCnIaQwly5UFZlhcN5SJxPRUf5bF4P
9pbhi8a2wdxHwOXYKisbnm3MgCGFKY0yrDOz3+ooc10ubrq8uRnqpLyX1vAic3waooDsFqgPuKjB
/WXJPFf7ox/nTDB9W1laUbqpCTTDIWB/YlZbqgQy1FBANtrXClCr7zX3g2Px8jJh2IxO9xyrFUCG
wjhK23w1bLw7yAT3Ykpb4d7FyWN6q5oB1mzoWrFU+2ETVcPaIQ6R40prKr4z35fmohugaZGMiNjR
nkg4Qtrw7Chb13Tx9HvG5URQzFytt5nj+MvadoeFBhEuou9aLe2l/oaFrt4Q0bItOgpdLL1eiDeI
dP8GlIZmUy4GiXTrB0Uxxz1yTJqioPzA+JJOYGplQlQboBYZ9oOtBta66OBYg6E3525cfMPTLIhG
RYthgl7bE/7at+Ibe0TItA37pAT49Wo9589gPpUpwaPszad0wmm3fXubT4Btd0Jtm4X1NYK9rQ/9
K+H1YdZC5fbZqk6xraPaAuyOK1zYE8I76oB5m1C98QeA93bjjRmUT05s1StDAatmwQKHLRbj8hRU
Ztnd18rRu1kqu8nNWgNUmnDi6gQWl75y8gEzYZTyd2kffTWBkFvAyPXUB7c97kVK20OWX1sD/20A
vjw3wxwt1V9LDOlkZslxqOLBy1FRLP6Jo3UP/lhcERbng8nst6ueSMxXUCIV5iZY0cMFf1Q/U7Ei
KgJRV1DHrSgB6feyRz3u+MWZTt00U3t3TAnXSJ33SNSKMM834TKnk2ZLGWwxxOWfu5f/vlemuMa/
f68cs7R+LV+HH98s07/33ZsFrY9tHdvUiT/Gyv632Ec8mpeHrQohLPXtpfNXfFT8QVZDMAU02Kzz
p/31WrEAUoAyUzne68Q+/5naRxT142uFFheD2LRjTBFX8tjvXytJDnth0BxxSoyxXeXwZjE02k82
y0JmNw96Le7j8QqodK0X2lIvnGtT+/eeHOM5oojBgx8vinQ4ovf7yheji+8TEJQLzYCvMpTpZ1Ej
0hEJ3YKU3Kg+dv+8ydAPS+KNbSTmYFuflbTNP2s1hXiGJ7tlZIbeaoQR2oXk8zy/3NEkB5TSCB4S
Rrrp4D6NjH1l7uDvDYuXIYqvbmC8lEJ77NtBnzP6nwzk2XwIYiT0Ito3DVqaRWn3w6A6z2Gdh/uU
GOVS68g5qnl0HzfyWR3scUt/xtYDBM/7EhhmoT9TNXdysRAOwr51y3UMAb1wsxIIQnffBOGTEyqb
Ts0eqlLxdzbrlYsTOUlbWBUqzLPh1A/haTKaFMNUYx8GXzOsBPTWQVAT3cmdPBVkAbYmCEdewMGA
ZqDf+sWxRBqp4yc66YsZf8U1L250Fq1dwC2vMHSUdDdFOkNb05tlVlVtWuGmOMNBvXvKQSRZt8lq
vJ5e2Cy7DF5QJQ5CRQAyWTuA+8hNkcmvJSPFRa1XeEVKdV2KMYDG3lwGx92oEQuvimtwHaSIIyH6
oUy5nmSmb/lEWO3yszoO4aJSOY1jLc0YhvbCcyGS2AfGtmeZu6ckNxciguKfDdGh86emG8iQ1kjJ
iInUIlX2FnCa8Dsgn8xFh1NYxibBeLuqQP3UhCps3rVDCMC8TsYLPssXJLmtrxD94Y0391QsDgjK
184W1dzWGKMUBjHQqJiDHL1JtYT0Ar8cDNp7KwPdnUDR4ADmHApFg+6XHTEkP7dJ/ymocNIWTrfQ
usFbjEJkMxztEV08WkJ3Xb1thzpbtEX80ISYa0aH8F8YJFevMo153PYbIALZqvQBwGLT6WYxRcZ6
COzdRvFKsn2W52eTBpUYo5mlSTQfxKO8Ra4dpHEbjemzpHCo1rpjNuqwCet051X1QcUiqycNBFo1
3zqt8zkCK+IG/lqYupwJp7ojEsALUblnWEmVYbZrSvM1E2IbEw7FE/OcVvJexNB55dgdTAM8f5Md
mzaGtxn3V1BaaxhzB3OKJY3dJnezrTYdCwcTJkGwgxkFsHkw9rns9l2lXlQAgCvYSgvPrx87LOZo
9+MqLOszyGZs9aO9K139xgrzPUWCGzMG9TrIhO7pVj9TA3v0cxspq0XmJm6LcH5bZdWDD9sdDNex
CcxF4A83qSrxcfHQxxLzdxc++LG9tvxsk4jQ2Q5WuibuMAUp66MB+34OD+hqoryxc7wmSotVTKU+
qSm3JIAf1b6Tc0eVcuHqzU0XWIembOnDsRFsOHc94tbZ2A1Q4aFe6P1I0xjytCHF8+i4604B+ep2
pJbap7RsNpWlfhsrn5024Y4RS1GoMuCZ2SM5uxudJOEcgonUV05msfb1BpEaE6BKKeTe9Rtag+Jt
XzfAljV3HwTB2Wzl3vOHboa0cWQ3iv7gplO0zZkppTwpqrsuMvdUpnGEJ6kHxaVqSwoXP4XUYPea
+WDEyknzoluM7GKBBfRzTrQXhuOS2MRe85WHXm3PhqadVAqRA2FnS0B+L7oixnmY+2zASTwV7IeR
E6xV2vghFvDkOWf7NLhJjfJQbuKM3ky414tKaJ/QK3cFWP8giMitKldSFdpcN+9sv1mG4fg5kvbt
aNX+IbWKfKv63k2epEclVekCLOTSHK1nLRdr2D4z08AaF9XCJNDb6xuaUniW/dcY2j9RhSnQBMUQ
86q+0rTcWqkhbZYFEVhuihxbJyKq8NVNlTSPVRfeFulIKYR/55XVhhCUP4V/PqVgyvnMd4TjH+oi
aLe9eYljhCSVaE8kIPUm/doys3NX+3ehOlYLR7QbRWK3GMm5VeI6So3omstXQ4U1VnGM3MO1bfTb
eEJSq1pKi2vZ0Velkfg2xLGSvO+XsgJ9vWy6IvxkYcJm8Rf2Xk85qiWESFZBIahCwTrBoY2nczwU
eGRmUBTL2TDkm7If1rafuhcMhgDK6zZdjkpYzPQWK7zf4vRrm+QzjPWlKdJoxRsGBwVm3kWuSzDV
7EGhDYA/BzAla14xrdvuIkkJTEG+Ky0rnDAmqXaI23MjKjVYp72ztKR8oAtLX6jgHJE5cbZpQWUr
syQSybxM/AOCfH5OOfk9RpqNV9MaS2XVOJ11rTqy/tIZccZ00nTIixChX+bdCOVUUw6Yb3ZtHl50
J16ZfbSE0PsJUMWNX0AjLXSMQ6ShdEnWGo74o0emaVLflqVG02cb9+vGxMNn1PXnltOeFjtPpmcc
2w4nCGeApKGy3qPmwajukIEH2AXBCyvrJ9UoN1iXzqrVv3qRsU9GviY3QCgMjQw8kvGYj9beDpOj
F0pjTrXtIsLcp+TIpw2vaIAtqNeld45UayHj7KaGljvDfLfNfXGw+nCjlSOZxXybuB1tRWpMfQWc
eREZV7dLbmnqXLTZMCySNL3jGJHOEyXeq2G3VVWF7l5tzlZorffFtvbctRID17KLvZ/XD8I09jLV
dqXBm9ZwVrGTf/GikYY0/9p77BQG1OzRC5Ylxl2rqF+TwD0oKcwnbrq+b/YE7b5AH4E9CGOKzuGb
UmdkoIdz14yGmZGITdCrt1VMHqlOiaoOU5MI/L4R57HX4kn2oilmB4ov0jZJoz8yoCQ9p/UrC9yE
gbGQrUUxC1P6CwYZP0qjmftgGcgV6Us3ZoZJt8dWyaNPrktq0xkv5AYC5FDtbui0lRHlDxkANcwa
EMcVWla9MmtJznXNsg6MU2epJ883YETUYskwbGl6NiU24RaGn7siYrNv4/E1H+g4zik2ZX2vD0Ln
ZvGzzpqDmoXQDQBjST2pc860bJeakKIlAJ2gVq/SpL4AJP9c8Y1VReYPAkSAKRok2SYYxJPV4RVy
WWlQfvtD3zsYNrrsobfGa66IJ10HXZWHxaOKCD9TRbOKwbki0/KpHU/buNPSQ05o1mZww/0ScryV
x8ccZ0/sK+NZ0cs9IDgSQFg+CJ8k37CHEq4ZKNvF0PxtiDmQt8WtD5Z1Td/RtrPxewx1cxjL6a1t
mY+9xoMWEb9ZlD3ui2IwT1ocnrD2zs3IDLZ2MFYHmBp4O3rjAdyuv+tgs7uVfGJmY26mx10Yk35C
ZdKKybDx5ASYnnPzqnV9eHCJ/jhavvVz9U732dFkFjTxrln7KnHlJD4UvgoU3OQUayXfGieTrOX6
0jecu7jOdmEd7eNWsM+ERlDp9eOgFTduD58ize1TpPmQPSKg7+YAIib6VEj3yeyNG1TTbG8ZxCcb
X2QrvTafxoRgSqUpU7A5Xactf7BSaKuMcA7mYbPdRBLrb4VDMJqT6lONW4KlOseIslTMpSMHU4/m
sSGUpa4B1oz+2YQb9gkDQfJFNLYCuGJy//4ABYJY7UnwhOcoZ2CbHquxn7n/A174t60iH+bD/3MR
oZmCJPqkELy/SOz1JXG+Kjyrw1ZJjypTFcW8q7u7706vlz+nid8jLN/PGAlnTJ/FJkJgTuNGGJbv
L+OpqsspQGXjrn/rsnvF+I1x4Cd/PogwTaWDhcOm9fG7qtyBug6RyHPacaPRz8zM9u/T9//b3x/o
rc43xBc1+WHf//19mwypYRXJ2eHcYV0s9/DrP/+Drv7D9/PhtzZFrAUKS+nZTNakvWMM+PbCxLz/
KqPFP74UBTZikgUsRsjuh59COr46dmMWn9Vog4ujpseB2Z455zWs5L9RH6a/9r9Gy28/+7ufhWnD
9wqKqoVJawspKRyeuwyxOHfVC9bUoV398w/1/e//4UOlduRifvjzQka4AIvaByveI9OrOP/NvTb9
pT9+KGhwKkQnhBsm5u8/lGHRIcOLNz1XxsqTLy0oAu/Pqde/fSp/djt/d4mPt9vIWDzzLTU9p85L
5D2Zyn9wO0PFJ8mFkKBZb7Ob7wwJUUGQzlT09EwZDGw9Mg7/weKFYVylqNfgsRG6/v5LSpWU/b3Q
svNov3T2qcHEpNa3//xH5yaGAGiiXWiTsPL93eUGSZ4O4MbP+OJw6JI00axrW0ILWYzGb+7knzyg
dDjpWBDovMQk8GGdDDyoq/DJ0nMwnamX4WQRXsLpyNhj3bx9rP+OPCeN9u9Fd/FSv/yvV0wv9TDV
qv6f/337kvJPZi/l55efKmr8y3/NPQkjYjoxGWDCfwTGwY/x99xT/UPYusp700LpAkr+d8jBsP7Q
4IwzFSVPbRtvBN+/Rp8GmF46hxhV2mhg0yD1H0Bx3j+86Gm0myKkUX+qs0TwBLy/LY1AU7oaz/gp
wAZdnfr+6buv5Wfvorc0479WoOkKrKr0TwM5x6xClvj9FRrGQpxJ+ubE0Wyp6/m3ITdP0oturLL+
VuPHLQFBLhKTdjBNSbe67W7KIlo2NhsJoQg848zyUrvcKJV6FzXBChDqV4UREYaNQ2OVlIXBepqN
gTxrrWbFBwLihXH2Mdx3+AfQU/gSSUIVybAysmEk6ada2z6ovG9srgFcJYGAfxnyCqNw5muhS7h3
I+u+SSgDi7uvPEaSrLMbm1+aoE9WtWb7iHVBsYet91aFdbZzhC7plI8uY68lqxj5ZtPsLlHfacQa
MsouSpKYTIL3bRk+x7p+sHTcw24yMAxsi41Ms02a1iNU3+LOs+TaGMOjE/jUCjIPU9QOsLHZf0ti
5VzTDTqrOMGtGsIHnJFu7QhKCUMxo3CRzpRNmje7msA1aMPh2sfOLhoBv/hMqrSa3mnbfvG0tpsR
tN74AM2aOHypoZijetKZCTVU+tFZwfoJZmQRePoT1n6CXDakXetgphwGSr09SuJbIjGWZQ75Ax8u
XC73UxSO9WaM5aX0snhWjcG+DtWnvNCn8sRoZ067NalBJBnhURijeRsaWKSCqg+WjRNuB8mh3orw
13sRiPcCR1gm4ufGhI2owr1RfUCEac3QAAIj/mnOcO2DSaiDSdZJVOKpqsdzHJKITHAuN1Mbidke
oY5tM7pe/T56YGKBydTtNlSWHQJd3rLqM4KN5IOeVp8ojHhAmVtlpdg5o7VS+vJZmDVjv5pTqVE9
ZXx4fWBOotCdG5O0xek8Lz1rYcT9geYgkO8FtnoTMW9WOxVKLekAX9jPPAWQOqIn3/MI5FZ1tAKp
w21TfBuyaOPU0dI08uemVJ8UhdOozSA4RhRse3euWvLzGHvXOKF9Kxj8QxxN7l5c2jNTse8CqsqL
HLAQ7SXAGhJqLTUoFUoekOIZbQuCGiH9MBTjQskZm1viNnLNxyavfArHmN/KfHp6og44E0eKJnfA
4nXFwgJxMPEFb3qHKUozNHLf+io8ImFUS1fmSOEIFMuuEie/1jmbWgIqDucwikuwqrp1uwxoCc1m
bS4anu+y9eA6DIo3zKKwDU99GQJKzjn5unwVYH5yf04wmnmUzIIFvUmEGRtFXdajWWFw9uKbzBGU
JiWNus/FlMAY9FnN1KSu+3Nu5tU2bZiaacZEuNeLagPOJVr6YXMAZ8toNs5T2lustdeP7nLsocQ1
psyXWV1kdPGG8mzTz0pGQamIsE4JIC//Yo3Dp9IzXuy42LC+HaNAS+auRiJokMrBi/WJ6QTKIhZW
T7wzS26ziSY602xPAi1Kb7q27NAxxNnEf87KMi8jc4GbuIH7l+7tAo2Z7mn+/901bUA95DacvWzY
+YW3kUYxoSIJLtcHaojXgRUcmQU/cEalQEzddRRCr9M+fjYjRj5VWHPa98ReI1BDEVVof6ZgRp+P
I12xM7PokjusA92qZXJo2CSojbFw5sgV8RKcZXkcnfhk6PkGdP9VK1AQJDOEHqc+dnRrwZKHAcBr
ONeKcisHJnVKfpfoybxJYB0uKnIfywEQo8ua0+w6VWTPqVkrrL/Kt6IK1MXQ0OPA5YAF5gLEjyHL
AYKW3W7gMrVrjPrDmqU/ePAKrqA38i5N2Buza3N3DS0FOxn5pxRj51wS+6eZlhmKmdl3kCEj/luE
CTzRKzphTc/DyVXcCW+4c1JrfBy9FBZxk1UrOBrEKZgc10C917mKpJMNRUY2Hr8RFafNYxlSnNA7
AxAjSBMBb6Wg3phtyk/cUWZAmHgxJNmTaPMt49RVbw/Lpso4jtq7uBju1SBatiGBK4Jk943U75ym
cPf90LfbDNzVIvMk7ZVNRPZAVZ/QI42F0ZvFYyNyBpYZBgAgbYj/5K8wDhiP+lQ0RktSD5GLUHnU
qMPy16/nH44HtDVgLp90WY7t2uTp+X5XSgJMGI4fpac6Zobdj1vC3teurH5z4pl03/fHkLfrTNvf
N/vQD5uA2gZP5wfpKZHyWAn9nlWJkW7yzHJZzrrBnWaMctMSapROvKn0gDoQsGF6umelOlgeNEoy
8gF5HVGoSyMAdAChLvW916wR1G/zCJijcxKq/5vTx0//5sC8wROaFoOND2cDK2mysHbj9ASzbOYP
hMsSCrh/c6J2f9yx2y4mUR0TFd8RN/r734FWLrokY5iiuU/luyLMrZGxMKhewXuDpMQU2HmEAZpd
8eIuBlfddk43iYk5C5WhXscoIW1D/TPsXvc25a3UZC2SCcA0k8rQuaVHBKUz/xTCwO09lINO57kR
CZm5wbXGG4S4l7iWFA0ie4wdqfFKE8tAhvEyro0vSqmv6HohimUwr4d+R36tQGKlWJJCy5ytTSC2
VJu8hqb90tv0hhOCnPW2PCKDtTPbHhTATl10pBQEGGnfBLSD1SGKJKQkLfQ/eY2W3BWdxftD8wnl
IXJU0Ac2QuuWTA/nxTTnGyKqDHNVPzNTSRf92Pus9/LgqS8NKCXL3rIuPjkK4hs+ws1A0ZgkJUV9
OX3aObYQQ1EXo8nWo+cxWyDTZIteSTZlTdgx0fpdo7YvkMqCLwMoVVUUCdi54KhnE4qxKlaM1V04
F/1NguXk5DYauLSx34MlPv76qcRt9/F5IXI8lcRxO0DzAjzy/n7AkZql/G/1ydb0l//L3pkttbFk
a/hVdvR9ETUPF90RrVlICDDY2L5RyIBV8zw//flSGBuEDN0tItonornb25BZlZXDyrX+QXOKaNSn
dbgypaxA0cv9ChYN46/CHSpmC+ALN0t21DNGBeNwN7BmiHGclTg9Nr16ZiT2Z01HOqqIjGxSVbI+
jwwolFsviAY1lVTQSno0UznUR43iiSKORDzCRkTJNR56BgnYyEN6zi1gZjUVVfc0I3+ZIXvd3+aJ
uXGAdA5rJbGojagfTfQAdZx+Ruj1jcykyIY55MNB3piffducN2v1DmYG4KKGbQDxZDNur9cOxl1o
NWeJdmXiyt1jjlt16hWak2eB715h9PAhspyp2ZWf7SDQsYFM5DFOH6KABJmxauqhLfzhNV8ayWtE
7LBD3UjMiWHqaF8UTfqsuHVGea/Xxi70vLpH+UJqEwi2+VTGQMnBZ0FNoAK69QgknjwETrawcp8h
qbH+CFMhMnetNenKsdt5kXQbsFy3GXZKsWWOcWI9w45uhFPJOUpKSys2J01CBdei8O3FFrwy7zJI
pWBODmCcFHBQw/UoSgloEnPLvYTFWEvOZZOV3z1LAhjVyYji+ZOyrEDYFUhUbcuhooBdKJDo1TK+
krKNxvq2HzYiQg0qdykB5QiATyUJFE3Ju6C0Ndi6pI8DaRFxiiOYPLMVaNgpAgsozaHJoo8UhVMz
XDcUjqg55RESJzigUOSRphirLHqITZYDYqtRtsKBiE23x33ZVxB1wdQXk6cZZDzs57Il7D2i3jKU
qEU16awLrVN92yxSAUEwEirMWgqLviGT56Y4uBfcEkIEtLRonCDaBGTjwjTGVtAQx6zQaTKRv9Zn
a6u+SWUM9SL5zDTyfNyu9aXvNlTDUHlaVCr2x4WhKDAS1/G0qftRStwwS7qyGIFVmeU1UYiVoMZi
retxDf/zjaPtjZW6n/1SXafznTSoVrgoQ444g+A6bGsUApvzID/Dx+qN3M7LLOWznUGo8D87sbGw
5nbBzpAk94p1V7cfamcZbz83+uz1TUiYnT0/s9mDRBKcpL5tgbkVJ+OTvFtTlPhrARxc9WjAjlOP
yoy3Vq+NYpvM3YT0a9DWizTFSyqhKnBmC7V3009wmvZBBzW0O6Re8V2X7cs21jDl1apPkpecA6y6
CgnfuPUMy0K9arcUf+JyO4lK72vs6zcS9kAftlVQwzV0kQExqoVBEY6SwLhTEHQjxJvGpWbdOKpz
lVJYJZNyWmnl3NPUBabhcyN1zpsA8iDHtkWhMVCFwqQ0kFy0rFPlJkrzsReu502qDCgG28CIok0v
d8YwbLZfstbJqRShgq0W2vaNUX2ebxFJ5ueDupf7DUw9BlVrtyu7/er23zr7jXzvW+3vHRyyFBIj
b4Nu5dlXqY8qoPbxjWnx+qww9+ZfZEaBHKjbbmWoFx4CSgyT7HbD1zsRo/ArZ/Q4SjbG9lAf8VLd
m3qtVTQuogzdCuNntbwtm4iY5KPXWm98jV36+1dHu/SXZllojJD8IjTd8ZKezPHO92IEsFJ1RRhz
y6E2ug4n65E0rgfe8GYQD27m1O6W3z54Q/dTO95QDPjGii5m2vz1F1ZFnu3Xgzy88dMDfy8AdGrP
wRKJbaSc1CN5KI/bq2qKvPrEGTsAWyfKlHGeKMN8IA/csTNK67G+im9ff4pdKn3/KZ4u+b3KTghz
11Zzxv0zAN4xHgAT58IanBdo9o2mN8ZwiSjA1Fm5k3YWXxmz6/VoO21n7HuDfopYSDEidTZyRtKy
msXT4hzyN2ze0adkUK3kYTc15s48WTSz/GM0uXr90fcMFR+nzK/dam8AJbXwUMz1mJcDrNUnxX06
Sa+VUTb0R4gBjrxxPIlOk+nF7XJczdE8bIf+qT9wTvEuH3L4jHEzvFsPP73+VEKE7sVnfTKg+254
npfAaTF5KnfuDNxhP4um62tMqYMhGHhzsB6AqByEUyQDZ+pXEmnj1/sX6+Tl9/y1jvZ2G7YaqcM2
ql3JfTK2mmbRI7pSY3L1xqEkdpXX+tnbdWyEQpGABOVJTD2om1u5nTXmt04bZzjySunk9bc6vMf9
fKv9y6QUsfkbmV+tXCRXO1BV28vjOti782mtDXIJmOwqMBaqTx7QsUav9/DGh9mv0EhRascW8IZV
kq4K9OtS9XOP/Mrrnbw1Tnu7aKEgTVdbfrlqxVfBuQHyyRsb9VvvsTfBqqQvqriIulWDNrUHfBrp
CPhbr7/HG7PL2tuVzPVW6kjOcRqg1607+AGGJf7U1RAJOtgq6qqGvfl6lwffy8BxW6HOIkDmTPgn
5wJYdW2demW10qPvwgFPA7FjTl/v4+DnedLH3qLBiQaXYldvV4avk7+/jKI3sgpvdbC3JfZB1Gp+
ktUrmU2bZHSghW8M0+58fG3hi2PtyTi5HkWfdcg85m4wyIbbU/RxzrgiDE9Rmx1vz3FiXLw+akLe
69W9Rrz1ky5Rs9CUUnU5oz6TGAaEODzb0veg2SjLfl4PLrDJ5R8GxjgaYmx9KQ0+lGNxql98yS60
U27t7sAfd+VgFg/d6VuPd/AgRw7mZ+iyP3O8vJEBoZYr5Vwc5NKgmIb6PFaGg2Cqj27iwSnWs4vv
8jcuZ/nHboEA9Ru7165c/dpH2fvutVRABHU6YolRPepHQunJHDiLcPTBWZlLbVqNvqiT9SAmYzvJ
p+n0bW71W49giXPxyUeS2gpx7CYtV9IiGbQjMpv+HRYzI2tR3bezdBwtrSmOVd+3X7RhOw3Okai+
f2OeHD56f34Ia2+eBLUW6UXM1Mwn7YRq+8ATUd08GF4DfZ3PAWYO+lUZDW7gJ4yiSTq1LqpBPqrG
7hzM3NfwjZ1ydzF78VV+LXdjb0hsyaE2FLOlZGN9ak4RnGkn/aRfegtlcAvbYhIM7Xk6I6m3RAr/
49gmOojH5TSYXHkjEST8CA7+V7oXRexXS/d/De5xsjngoSv+8rFuDxMWvBG6IWgsIHm4x4Q1IXGr
ULqBinE8/Krbw1dCzpCSOvJQumZxrjyW7c0TiEzC+9EEjWPAPv93yvZcUp5tg+LmohocTrB00YFQ
KbI/X2FF1RmITNsS4vmRPwyTee2tBUXPBFoo+BcBjmGSYGT4UDNkwdGoBVujgbbRCP5GCJGjF4wO
rKb9IcysZKAKvkcmmB/YrH5roIIkUEJSOTvrKm2OQ7W9hKWXj8koD9bQSLbQSSLBK9mW4Yd2l+aB
coId9RAcVTEUeWlHsFKoSxkDqvw3cmt9bzFonfhNihkdhm9KhMhM0EOllax+HDkwXqu0GnlKOqLW
3UxwDgCTj0crCsgVtPZ82gQSOW38KAZFFZ2iudd4I2OdQGIAKy2N1q3+NQ1rqbv0G3KbExS0GmTl
kqJMrivSGSnSsIpOljlVB5h/O5NUQT+uLrporMqVBfZUG9cUvuHM+heVzzHhxCGWdUgaV7J/V1rW
/VrG/HXtke3QylVYf1QL0obrDqX6xqmovHbJldVS5Iap+9UH/T4gn6COwRUjIYxfi7kuitNMjr9B
aaImFIcumUzyhwoippGuXmYBri8YfxnQV4NrmTJuYFXYrreBPGpl/XOM/UjkWQn+6W2ylGOvG0qW
M44t51zbUpcKk1WhFNMIhk3oWKetsf6MIbRCukbrUPPxJ1Wsy3OlIvnr8t6AyVvYQybAVTlE8Jzn
ubG3pXdae6CgU4YPSuZaEoyq6Bxg0XUoUPtRaiFHBZBf30H6S4HuD3ZAf3J6gP6Vxj7rISPJBcLw
skmKkbKuDVhAvhIaZ8jhU1hEIjCDTiBBeMgK8xI/3TmMumlQVzNX8A9qiAilHZ23DrS7VoXAClVB
j/jyDTwt36igqfk31JivcQmeNnAcIkF2cGA9tLAfyPovc9gQOawIxN9niqBJ+IIwYQrqRE8lFEca
yBSCVkEpb2kKogWf3B9UlX+PPQMiZjyb1G2NMW4ZaBfD1Gh7C3CG8VXNkcoWVI6yCs96uB0k11P4
ONA94NBeeVXzLZaKcVRc5xXpSSdzLrfwRNICnlfan8LS+yQ7foOOF5w2mCVe55MLhmviFcHXSJBP
JMuE+tbhuwgvBQMplIsFVSWDs+KslWQsRw3srH7VwGpBmvlGheWSFNIogfWi2sY3LZVh9Qk+zNY9
b+DHZDmYB/gyoSDOyGo3yQSVxoM1s4ZbA+18VQmyDXov32pBv9Ga9dIRhBwNZk4Y8mswdRpB2Wny
aI7X27IWsmaC1NO20HssQfQJdpwfUMnd0NwxgVwgsGgSm9svvjCBMXxOWcEckooZtKgvBYyixqnH
UO2mvmZ/LWEcRZUuYadcjjSlGpZwkvJt+rkTJCU1Ar/R6ObShr9kKxm5P0FpynPtswfHqUGsLBSk
p8TWLzVYUPBKL1VBi+r6+swQRKkWxtQ6zu05mjYzSiVTzw5ufDVYbuXio4WyIF608ocS9pWa4gMF
GyuQqxvsma9yQdOK4GvpEUsN/pYHj6sVhK5th0UHqIZZqGa47KkfmCSniSCBubDBijXlBkEPq6r6
c6RmyLECNa9hkCUwySRHWUiajLtlI811uGYynLMyz+YRHLQGvUFMTJbUgadl2F+WgqxmRRmopXzR
pkxZO0Iqowg/ruG3Bcim6pkxL+G9FXp66sKDUzT3Uw0vzoAfR/IkHKAeNakNgPEw6AJAQ4qg1PVw
69Zqvuzg2sWCdFfAvnOTYOGBPmph5TkhUCSQLwMlyeShD3NPr71JDJMPOunCg9m3O5L/F5uI68zr
scmy8oq/zr95RXooQOHPHwMUgIXEJoZiO6psY5tHFPITWIinng7IE6S6jIa3wBw+EqohTiOWAHca
SLDw3OWvHiMU/QRGNX+2U6kxNYqOxwALkXO2DRtXYNpjhe/liXMceQqE0rbnUC6QN0aE9a1KCGD2
ZzGQyPnZmk1DKEaBdOWlnsdAkZLIThqS3oITOY/dypnAQfDziRW1Z63Wmg0KXF0x7fH+GgNY4aBX
8Ou7UiE+owxfOuaZlVsOyKHtOjurcslGp6PSzOzMNCUUCXWCrC28aIXQpGjkcZI2MggZFHPHcCrk
adtm/RS/IBXnXlOZ5q6ejQEd+lPNZBuJa/PCt2KhARchiJts86knbZH03eYJcJ44Atd+Fee9+z1C
n2KiPbAy7EKWgFft2BpOyH+NlVQnSHJ3lI5yR+9Isza7LFuewkOdtQekRSXT/aylysJtXTLEWLMh
CxvMtTqbEootm8oE+FJKq8qtPxmBdp05xVUO124b159MI4oHtolbKMi5JT41462eLeE0zhUkkqDA
gt7atuaiEeZrMnrW2Kyid411mQyHrwetxHb+JfV9+J6hBVU6yc7BdvkzJ3bxfOOiawbdwk3RDtbx
Q8Y5Srl3wwS9TccZdwQkg9LxVED9GtDKtjWmeI73i6xLF/VamrZRgE67t51GoZGPPA1f3z4dZ413
RkVTG681ONJbN532fT5f594H18jCqR8b8QjF2XneC6+EQpnHRZujRQlAKy8XrtbiUdXJ5m1XBwW8
ZiqbsmpO2pSp2ireWNdLRJPtGJXF9bxNs7OGqg1aLlDQg9IegizDB3DrG1eG3iUDIDyQYXE3w7vL
UTED0EukZcqzzKwx/nJg3gaQGJNQvtfN6k6BxzglSIoWmoOc0sANDO8yjfE4VFrdM+D0sclainTq
BL4yLWz5Fh+peW9KK0BYH0tXEroZ5sDu8vE6sDFsIusR2Zd1HE8cXx35+XpM1W0YmU0wg307tZtS
HWUaA2/E1qyQ6xulR3A8BWmBRe7X3qzPEhlmpJe3p0YoX/Q0WiucwTZaLLoyrVJpoxbKvSS180Tv
l9pamjnWp3b9NbH7UyiA9sRAFDy3jI84UBFStt9qjB+q0i4JDgNwrt3Fdo05j6YGJLwD50u4Vb9o
XJVGeaMsHR2dkEY/xwkeFLI7dPsKx8Y+m2DXcA1I6KNOGbDdQtg13O2FXhO2o0PWDaIaingSzJHa
RYy7Vj6lkntt29FHKRXOHs3E2qbfVas9zRzptMVhGYtt8zTznWloYqBlW8UIhA0RZKWXH/TGP+X9
RJXxq1bhCdBpIeFtQgitainuy3obzECKqF8SGHWfCzvx8AzsujXGEMAk2rUFVq4NlbGO/vgARr47
yh6gjML8o4T3nalATxoBeaxTw1tVes+9KNxhIqsdPhLKIFjJTMAmbQGg7AWU0gVTKRWAK2tQlmuE
dHHIAnhZ6k7BZAbHUgtYJmA2HFlU40MpowWoZYA3t6ifc8/xF5AuryIB8ES4PAWKCegzAP1pAgLl
y2OlhEWiJQCiNizvs7UAjbY9XsmBmXzTUZAbmFkHtBSMaaMb17IAnRZ+F0y34FB9AUjtBDJVuM+B
VPVBrNq+CnYIDOva5CuDaQXaNO7BuNZ++d3Km/PQ6H0csxBK1Zrwi+pjMAg+NukkzOUEYFZBFmnd
oPpVFrE9wLhsWYCv7TpvCJ167GfqXYSwxTQFievH9ZdaW0NaBgDRe4g6lfokBbubBc1EBcurgOk1
qvjGECBfkt9XbdgtY9C/ZcZtS2r8m63bzT3wwXXbntXghbcCOCyH5ocSJLEBorgFWZz4+tAGadyA
OFYaSH0WGiG17rBZgErma4xjUMrYjCFgCW4Z6wnMrgWUuQTTTHEb3RsBc/aB3ioC+FwICPQ2tq6z
2jstNbMcooOLtY+7yARsWvLiC+jj5SzxtzeGgFYTbM4MsNZsNyOpwglSgLAj11qiMDHLQWcrpfHF
wWxqDWo7tYNzDRQ3IeugELDuSA02ki2N8D6ZVUgfDJCb38ggwRnrkSeg4dTRT3Ww4oUAjft6ceqD
Is8N8+uaALHGgUsv66s1ghWkI/oJNuQJiFn3QgaRvhbQdAw9vso6fj0qqHUH9HoGip0qTY9BeDLD
myCbIYctCOyYwYB9r8DAm5jUywIUjy5SOYkjWQFBDmSezArQAAGjD8DTx7ILTFm2z2UBtW/iLFsU
An6PxWQ0QTrp1hPQfPQ8pc+IUzFfBHC/k9P1QBNgftwTrJG6Q/g3nXpGUfnflPwUXLgdbo8oBOvi
F6KvSmAoURSvpZXvw17/FDjfdOONOsHLWsTzLvYSmR2z2AwqupAziPHWeZWeo/75JMzkHoFXQ/yU
8ijqNM+Tk6IPk6ySgQ6OsU8DUdWqixoH20Q8TNkcz8Ect+01QOfXuxGZ5/1uhILbjmUFtXIvabVN
fNRygpq6AHfGDMxTAeNdyj5W+oVQPDELSP/GAyLi/8FV4scjCvIQSvHceC+r+7z7cF+AFCseQ2vx
rxcJrIXr5D/7pdcb+sFaukYx/u9/29yhcUvyrsy925Ki5gOjaX73978pO1MXg//37HKye7DdU7/a
Trjh7ao7etDME02TQWVz8dj9ELKHSbz98c+SwqUF0WfbVgT2gL6ejNHvRuH1F3wYztd/5/cP/3QM
DARU/4P35wV/vb51ohoITaNZ9dvXx/wXRBUMwN3PnzAIh2YCm8yRM0E/UblgarJGGCl+uJy9nAma
IsNk+0MHQZRwjhwEjXIARkLgxn8zH6wTUvucaQLx/d9fDgdmgsIefeQgYOUEm02D/fqbmWCfUMSg
0KJYj3vGHzgU4qg/eiisExsuu0p1+GEoGNxni0JVT1SOR8t82In/y7vjgekgE50cOR3sE5mcFf6X
v9kYGAMU+HDoVP7YjeH4QVBPLG50FPFebIvWCVEkySztx2r5Q/eFH7v2g0rAzyDm34wVgGogiU5Q
8PCztxiIFSxSiAbBwh86CAL3cORq4ACQUU6xTZaE+NmfD5ShdWzw2Bv1P3hzRLXz+KGwTwyLCjkZ
6IeheLE5KifCOBfr3D98KN4jeKK2D2OeYHr3Q7D87JxQCDQdHZ+EPzVs0N7jrARCYVnO40b4Yjpw
Vqqo6SMP9oduDz/uOMfskbhSI5ugox3xMBH271NsD5RAhIHOH3GfOhAx/Pg6xw2CiA4Re//dHqmc
iCslXJU/9aAQANIjDwr7RGRoENN4CJJFTe/ZlkDYREgBLsl+2H7+vNhRf4jnjpsJpi4j/o9i3+6H
+fZ8EPAoQFeL2PJPjR0F7u+4maDLJ7iskKvDTOHhZ38Q2Bg15GRMkYfh59/YHv+FSfMzczV0yaDu
clbefXEotfW7X3hM1rz89ycZqV025tlvihzWQ+cPeSvx3/94ntLapZOe/OtjemnX04+///GKLzt/
1tnjez3+zxneGZv8Fp2kXSbvx4M+iAH9M0QT6G7zNJck8mkPF8ZfT/My//ZzHrzeeurF9/uNG3zX
x/93OLn3rzUebe6S/LGhX5lAMWeOfnKKfOWhB/95SBzx4MMNYmV8kuLxOZ88Ozvj0c8+TMKqePFJ
GXU213doHOPQzV9DUIeHuuAQO7qL0X3414pi9qHxJ/l/dPvj8K9RkjN5Htt6Mv6cdUe3P8nvi0P2
4eLaeXTj0/A+jh/befLgxKxHtz1DbhjB+PKxqV/NC2Wso5ufR+l97m3Cx6aeNP8eS3Yedwe+qPIe
K3Zxnx8Yc+GrfvSgLHBUPLARKO+xVpeb4MAaEhmJox97uSmK+0Nj8h4LdJkUf/0z3t6H94dG5j2W
6Nnmjg34cRyeTMT3WKJnm9w7NDTvsURF22lyaHcX/M2jP+vZfXyX3HqHdi+BgnuH9vPb+7vHhn6N
u0hGHd94wrM/tvOk7fdYpmfJwTF5j1VK069Z0OxitiOijdUmPTDRhWft0QO+uq83L2NHA3LJOzR+
jvrI9sD2JbLORz/5Rbi5vT8QOwqS/Ts0XkWHgjuhr3F04x88QsfCuzswMqLmd3T7V5vbnCtBfJBi
9B6rFPnR1zlMx074hw7yeJPfHdzIBP3+HYYp/mvk3W8PRBzae5yv4iUmrIBbr7g91Md7LF/Rx2my
yTD6fhyRX7um9h5rWPTwNib8PT742aa8PzRO77GeeYs3BXPf4R3oYxgeluR9n4Ut3mKYV/3Lj62/
y8J2NwfvhPp7nL+v+n8ePfjwkjAArg4MzLus5STcHIoe9HdZxAQm0YEDXmRtj9/lyg12iOGmOhCH
i4zo8R2INMuBc1h/j3V7fe9uDg2NSGMe/eTXxPjA4h5b+rVxGu+xWK8rdoIDR7xAuR3/6BUJouhQ
Xk4UfY5u/hMtVIcuV8Z7HLxfkvDAPi8Evo5+8C/VtwMLCbLzW00fSsv+hAe+TNY+wv4O/dnzXLT4
jdvwfpP/4/8AAAD//w==</cx:binary>
              </cx:geoCache>
            </cx:geography>
          </cx:layoutPr>
        </cx:series>
      </cx:plotAreaRegion>
    </cx:plotArea>
  </cx:chart>
  <cx:spPr>
    <a:ln>
      <a:solidFill>
        <a:schemeClr val="bg1"/>
      </a:solid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0</xdr:colOff>
          <xdr:row>1</xdr:row>
          <xdr:rowOff>1</xdr:rowOff>
        </xdr:from>
        <xdr:to>
          <xdr:col>18</xdr:col>
          <xdr:colOff>0</xdr:colOff>
          <xdr:row>16</xdr:row>
          <xdr:rowOff>1</xdr:rowOff>
        </xdr:to>
        <xdr:pic>
          <xdr:nvPicPr>
            <xdr:cNvPr id="22" name="Picture 21">
              <a:extLst>
                <a:ext uri="{FF2B5EF4-FFF2-40B4-BE49-F238E27FC236}">
                  <a16:creationId xmlns:a16="http://schemas.microsoft.com/office/drawing/2014/main" id="{593CB90B-8B09-1890-3B2F-AC0778F4239B}"/>
                </a:ext>
              </a:extLst>
            </xdr:cNvPr>
            <xdr:cNvPicPr>
              <a:picLocks noChangeAspect="1" noChangeArrowheads="1"/>
              <a:extLst>
                <a:ext uri="{84589F7E-364E-4C9E-8A38-B11213B215E9}">
                  <a14:cameraTool cellRange="'Pivots 3'!$H$4:$L$9" spid="_x0000_s5286"/>
                </a:ext>
              </a:extLst>
            </xdr:cNvPicPr>
          </xdr:nvPicPr>
          <xdr:blipFill>
            <a:blip xmlns:r="http://schemas.openxmlformats.org/officeDocument/2006/relationships" r:embed="rId1"/>
            <a:srcRect/>
            <a:stretch>
              <a:fillRect/>
            </a:stretch>
          </xdr:blipFill>
          <xdr:spPr bwMode="auto">
            <a:xfrm>
              <a:off x="6902824" y="179295"/>
              <a:ext cx="4288117" cy="268941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756</xdr:colOff>
      <xdr:row>0</xdr:row>
      <xdr:rowOff>7470</xdr:rowOff>
    </xdr:from>
    <xdr:to>
      <xdr:col>25</xdr:col>
      <xdr:colOff>4917</xdr:colOff>
      <xdr:row>43</xdr:row>
      <xdr:rowOff>0</xdr:rowOff>
    </xdr:to>
    <xdr:sp macro="" textlink="">
      <xdr:nvSpPr>
        <xdr:cNvPr id="3" name="Rectangle 2">
          <a:extLst>
            <a:ext uri="{FF2B5EF4-FFF2-40B4-BE49-F238E27FC236}">
              <a16:creationId xmlns:a16="http://schemas.microsoft.com/office/drawing/2014/main" id="{F3C07434-CD63-D776-3230-23098B0F8713}"/>
            </a:ext>
          </a:extLst>
        </xdr:cNvPr>
        <xdr:cNvSpPr/>
      </xdr:nvSpPr>
      <xdr:spPr>
        <a:xfrm>
          <a:off x="328705" y="7470"/>
          <a:ext cx="15041604" cy="7872960"/>
        </a:xfrm>
        <a:prstGeom prst="rect">
          <a:avLst/>
        </a:prstGeom>
        <a:solidFill>
          <a:schemeClr val="accent6">
            <a:lumMod val="20000"/>
            <a:lumOff val="80000"/>
          </a:schemeClr>
        </a:soli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6957</xdr:colOff>
      <xdr:row>43</xdr:row>
      <xdr:rowOff>0</xdr:rowOff>
    </xdr:to>
    <xdr:sp macro="" textlink="">
      <xdr:nvSpPr>
        <xdr:cNvPr id="2" name="Rectangle 1">
          <a:extLst>
            <a:ext uri="{FF2B5EF4-FFF2-40B4-BE49-F238E27FC236}">
              <a16:creationId xmlns:a16="http://schemas.microsoft.com/office/drawing/2014/main" id="{7DA8093B-AB68-E022-9009-E9D6918733E8}"/>
            </a:ext>
          </a:extLst>
        </xdr:cNvPr>
        <xdr:cNvSpPr/>
      </xdr:nvSpPr>
      <xdr:spPr>
        <a:xfrm>
          <a:off x="0" y="0"/>
          <a:ext cx="1991701" cy="7620000"/>
        </a:xfrm>
        <a:prstGeom prst="rect">
          <a:avLst/>
        </a:prstGeom>
        <a:solidFill>
          <a:schemeClr val="accent6">
            <a:lumMod val="75000"/>
          </a:schemeClr>
        </a:solidFill>
        <a:effectLst>
          <a:outerShdw blurRad="63500" sx="102000" sy="102000" algn="ctr" rotWithShape="0">
            <a:prstClr val="black">
              <a:alpha val="40000"/>
            </a:prstClr>
          </a:outerShdw>
        </a:effectLst>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gradFill>
              <a:gsLst>
                <a:gs pos="83000">
                  <a:schemeClr val="accent1">
                    <a:lumMod val="45000"/>
                    <a:lumOff val="55000"/>
                  </a:schemeClr>
                </a:gs>
                <a:gs pos="100000">
                  <a:schemeClr val="accent1">
                    <a:lumMod val="30000"/>
                    <a:lumOff val="70000"/>
                  </a:schemeClr>
                </a:gs>
              </a:gsLst>
              <a:lin ang="5400000" scaled="1"/>
            </a:gradFill>
          </a:endParaRPr>
        </a:p>
      </xdr:txBody>
    </xdr:sp>
    <xdr:clientData/>
  </xdr:twoCellAnchor>
  <xdr:twoCellAnchor>
    <xdr:from>
      <xdr:col>0</xdr:col>
      <xdr:colOff>153280</xdr:colOff>
      <xdr:row>8</xdr:row>
      <xdr:rowOff>132772</xdr:rowOff>
    </xdr:from>
    <xdr:to>
      <xdr:col>1</xdr:col>
      <xdr:colOff>831460</xdr:colOff>
      <xdr:row>10</xdr:row>
      <xdr:rowOff>140392</xdr:rowOff>
    </xdr:to>
    <xdr:sp macro="" textlink="Pivots!H6">
      <xdr:nvSpPr>
        <xdr:cNvPr id="4" name="TextBox 3">
          <a:extLst>
            <a:ext uri="{FF2B5EF4-FFF2-40B4-BE49-F238E27FC236}">
              <a16:creationId xmlns:a16="http://schemas.microsoft.com/office/drawing/2014/main" id="{AEDD7BD2-CC06-EE96-AB59-5A324393A32D}"/>
            </a:ext>
          </a:extLst>
        </xdr:cNvPr>
        <xdr:cNvSpPr txBox="1"/>
      </xdr:nvSpPr>
      <xdr:spPr>
        <a:xfrm>
          <a:off x="153280" y="1590511"/>
          <a:ext cx="1005343" cy="372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42D5EA3-E595-4A6F-BD33-3009C3808B0B}"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134</a:t>
          </a:fld>
          <a:endPar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182321</xdr:colOff>
      <xdr:row>4</xdr:row>
      <xdr:rowOff>118411</xdr:rowOff>
    </xdr:from>
    <xdr:to>
      <xdr:col>1</xdr:col>
      <xdr:colOff>860501</xdr:colOff>
      <xdr:row>6</xdr:row>
      <xdr:rowOff>103171</xdr:rowOff>
    </xdr:to>
    <xdr:sp macro="" textlink="Pivots!A4">
      <xdr:nvSpPr>
        <xdr:cNvPr id="5" name="TextBox 4">
          <a:extLst>
            <a:ext uri="{FF2B5EF4-FFF2-40B4-BE49-F238E27FC236}">
              <a16:creationId xmlns:a16="http://schemas.microsoft.com/office/drawing/2014/main" id="{FF72A4C9-F033-405B-822F-630C49432007}"/>
            </a:ext>
          </a:extLst>
        </xdr:cNvPr>
        <xdr:cNvSpPr txBox="1"/>
      </xdr:nvSpPr>
      <xdr:spPr>
        <a:xfrm>
          <a:off x="182321" y="847281"/>
          <a:ext cx="1005343" cy="349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20D02EC-D3E0-482D-967D-546A83460B8A}"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31</a:t>
          </a:fld>
          <a:endParaRPr lang="en-IN"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138907</xdr:colOff>
      <xdr:row>12</xdr:row>
      <xdr:rowOff>112326</xdr:rowOff>
    </xdr:from>
    <xdr:to>
      <xdr:col>1</xdr:col>
      <xdr:colOff>817087</xdr:colOff>
      <xdr:row>14</xdr:row>
      <xdr:rowOff>97260</xdr:rowOff>
    </xdr:to>
    <xdr:sp macro="" textlink="Pivots!I6">
      <xdr:nvSpPr>
        <xdr:cNvPr id="6" name="TextBox 5">
          <a:extLst>
            <a:ext uri="{FF2B5EF4-FFF2-40B4-BE49-F238E27FC236}">
              <a16:creationId xmlns:a16="http://schemas.microsoft.com/office/drawing/2014/main" id="{FCCB8D1A-BEE0-4ECE-840A-281158D87D8C}"/>
            </a:ext>
          </a:extLst>
        </xdr:cNvPr>
        <xdr:cNvSpPr txBox="1"/>
      </xdr:nvSpPr>
      <xdr:spPr>
        <a:xfrm>
          <a:off x="138907" y="2298935"/>
          <a:ext cx="1005343" cy="349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5EBE435-EBB5-4342-A6C6-72D130A554F5}"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$8.1k</a:t>
          </a:fld>
          <a:endParaRPr lang="en-IN"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107385</xdr:colOff>
      <xdr:row>16</xdr:row>
      <xdr:rowOff>102103</xdr:rowOff>
    </xdr:from>
    <xdr:to>
      <xdr:col>1</xdr:col>
      <xdr:colOff>785565</xdr:colOff>
      <xdr:row>18</xdr:row>
      <xdr:rowOff>121434</xdr:rowOff>
    </xdr:to>
    <xdr:sp macro="" textlink="Pivots!J6">
      <xdr:nvSpPr>
        <xdr:cNvPr id="7" name="TextBox 6">
          <a:extLst>
            <a:ext uri="{FF2B5EF4-FFF2-40B4-BE49-F238E27FC236}">
              <a16:creationId xmlns:a16="http://schemas.microsoft.com/office/drawing/2014/main" id="{A8930F9E-E797-40BC-B476-54F557614F75}"/>
            </a:ext>
          </a:extLst>
        </xdr:cNvPr>
        <xdr:cNvSpPr txBox="1"/>
      </xdr:nvSpPr>
      <xdr:spPr>
        <a:xfrm>
          <a:off x="107385" y="3024153"/>
          <a:ext cx="1005651" cy="384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A0D503-A8B6-4DE8-BF1E-7092DD5D7316}"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3.9</a:t>
          </a:fld>
          <a:endParaRPr lang="en-IN"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87109</xdr:colOff>
      <xdr:row>20</xdr:row>
      <xdr:rowOff>71842</xdr:rowOff>
    </xdr:from>
    <xdr:to>
      <xdr:col>1</xdr:col>
      <xdr:colOff>765289</xdr:colOff>
      <xdr:row>22</xdr:row>
      <xdr:rowOff>74079</xdr:rowOff>
    </xdr:to>
    <xdr:sp macro="" textlink="Pivots!K6">
      <xdr:nvSpPr>
        <xdr:cNvPr id="8" name="TextBox 7">
          <a:extLst>
            <a:ext uri="{FF2B5EF4-FFF2-40B4-BE49-F238E27FC236}">
              <a16:creationId xmlns:a16="http://schemas.microsoft.com/office/drawing/2014/main" id="{2CBBEF89-E6BC-4FB3-BCE7-9CDEC5938F8B}"/>
            </a:ext>
          </a:extLst>
        </xdr:cNvPr>
        <xdr:cNvSpPr txBox="1"/>
      </xdr:nvSpPr>
      <xdr:spPr>
        <a:xfrm>
          <a:off x="87109" y="3724404"/>
          <a:ext cx="1005651" cy="367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96E5C7C-B368-4BEA-88CC-36B12D3ABDF4}" type="TxLink">
            <a:rPr lang="en-US"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2.4</a:t>
          </a:fld>
          <a:endParaRPr lang="en-IN"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182321</xdr:colOff>
      <xdr:row>3</xdr:row>
      <xdr:rowOff>9051</xdr:rowOff>
    </xdr:from>
    <xdr:to>
      <xdr:col>1</xdr:col>
      <xdr:colOff>701935</xdr:colOff>
      <xdr:row>4</xdr:row>
      <xdr:rowOff>125007</xdr:rowOff>
    </xdr:to>
    <xdr:sp macro="" textlink="">
      <xdr:nvSpPr>
        <xdr:cNvPr id="10" name="TextBox 9">
          <a:extLst>
            <a:ext uri="{FF2B5EF4-FFF2-40B4-BE49-F238E27FC236}">
              <a16:creationId xmlns:a16="http://schemas.microsoft.com/office/drawing/2014/main" id="{96DDF5B5-EB85-4236-28F3-6776900A245C}"/>
            </a:ext>
          </a:extLst>
        </xdr:cNvPr>
        <xdr:cNvSpPr txBox="1"/>
      </xdr:nvSpPr>
      <xdr:spPr>
        <a:xfrm>
          <a:off x="182321" y="555703"/>
          <a:ext cx="846777" cy="29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t>🛒Orders</a:t>
          </a:r>
          <a:endParaRPr lang="en-IN" sz="10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153280</xdr:colOff>
      <xdr:row>7</xdr:row>
      <xdr:rowOff>6233</xdr:rowOff>
    </xdr:from>
    <xdr:to>
      <xdr:col>1</xdr:col>
      <xdr:colOff>639762</xdr:colOff>
      <xdr:row>8</xdr:row>
      <xdr:rowOff>64212</xdr:rowOff>
    </xdr:to>
    <xdr:sp macro="" textlink="">
      <xdr:nvSpPr>
        <xdr:cNvPr id="12" name="TextBox 11">
          <a:extLst>
            <a:ext uri="{FF2B5EF4-FFF2-40B4-BE49-F238E27FC236}">
              <a16:creationId xmlns:a16="http://schemas.microsoft.com/office/drawing/2014/main" id="{27705B3F-2D73-F295-18C9-9F15A043E9D5}"/>
            </a:ext>
          </a:extLst>
        </xdr:cNvPr>
        <xdr:cNvSpPr txBox="1"/>
      </xdr:nvSpPr>
      <xdr:spPr>
        <a:xfrm>
          <a:off x="153280" y="1281755"/>
          <a:ext cx="813645" cy="240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t>👕Quantity</a:t>
          </a:r>
          <a:endParaRPr lang="en-IN" sz="10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107385</xdr:colOff>
      <xdr:row>10</xdr:row>
      <xdr:rowOff>182217</xdr:rowOff>
    </xdr:from>
    <xdr:to>
      <xdr:col>1</xdr:col>
      <xdr:colOff>985342</xdr:colOff>
      <xdr:row>12</xdr:row>
      <xdr:rowOff>66672</xdr:rowOff>
    </xdr:to>
    <xdr:sp macro="" textlink="">
      <xdr:nvSpPr>
        <xdr:cNvPr id="13" name="TextBox 12">
          <a:extLst>
            <a:ext uri="{FF2B5EF4-FFF2-40B4-BE49-F238E27FC236}">
              <a16:creationId xmlns:a16="http://schemas.microsoft.com/office/drawing/2014/main" id="{792468AB-9D97-D98D-78C1-AEECA420D8AA}"/>
            </a:ext>
          </a:extLst>
        </xdr:cNvPr>
        <xdr:cNvSpPr txBox="1"/>
      </xdr:nvSpPr>
      <xdr:spPr>
        <a:xfrm>
          <a:off x="107385" y="2004391"/>
          <a:ext cx="1205120" cy="248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t>💰Amount</a:t>
          </a:r>
          <a:endParaRPr lang="en-IN" sz="10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107385</xdr:colOff>
      <xdr:row>15</xdr:row>
      <xdr:rowOff>1200</xdr:rowOff>
    </xdr:from>
    <xdr:to>
      <xdr:col>1</xdr:col>
      <xdr:colOff>803125</xdr:colOff>
      <xdr:row>16</xdr:row>
      <xdr:rowOff>34741</xdr:rowOff>
    </xdr:to>
    <xdr:sp macro="" textlink="">
      <xdr:nvSpPr>
        <xdr:cNvPr id="14" name="TextBox 13">
          <a:extLst>
            <a:ext uri="{FF2B5EF4-FFF2-40B4-BE49-F238E27FC236}">
              <a16:creationId xmlns:a16="http://schemas.microsoft.com/office/drawing/2014/main" id="{D69399BD-8F7A-18CD-FD8A-07C5A3A4D95C}"/>
            </a:ext>
          </a:extLst>
        </xdr:cNvPr>
        <xdr:cNvSpPr txBox="1"/>
      </xdr:nvSpPr>
      <xdr:spPr>
        <a:xfrm>
          <a:off x="107385" y="2740621"/>
          <a:ext cx="1023211" cy="216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t>⭐Avg.</a:t>
          </a:r>
          <a:r>
            <a:rPr lang="en-US" sz="1000" b="1" i="0" u="none" strike="noStrike" baseline="0">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t> </a:t>
          </a:r>
          <a:r>
            <a:rPr lang="en-US" sz="10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t>Rating</a:t>
          </a:r>
          <a:endParaRPr lang="en-IN" sz="10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0</xdr:col>
      <xdr:colOff>82826</xdr:colOff>
      <xdr:row>18</xdr:row>
      <xdr:rowOff>175977</xdr:rowOff>
    </xdr:from>
    <xdr:to>
      <xdr:col>1</xdr:col>
      <xdr:colOff>877957</xdr:colOff>
      <xdr:row>20</xdr:row>
      <xdr:rowOff>26479</xdr:rowOff>
    </xdr:to>
    <xdr:sp macro="" textlink="">
      <xdr:nvSpPr>
        <xdr:cNvPr id="15" name="TextBox 14">
          <a:extLst>
            <a:ext uri="{FF2B5EF4-FFF2-40B4-BE49-F238E27FC236}">
              <a16:creationId xmlns:a16="http://schemas.microsoft.com/office/drawing/2014/main" id="{D8B7B940-1E17-54EA-00EC-3DF2D4149194}"/>
            </a:ext>
          </a:extLst>
        </xdr:cNvPr>
        <xdr:cNvSpPr txBox="1"/>
      </xdr:nvSpPr>
      <xdr:spPr>
        <a:xfrm>
          <a:off x="82826" y="3463283"/>
          <a:ext cx="1122602" cy="215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t>🗓️ Day</a:t>
          </a:r>
          <a:r>
            <a:rPr lang="en-US" sz="1000" b="1" i="0" u="none" strike="noStrike" baseline="0">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t> to Deliver</a:t>
          </a:r>
          <a:endParaRPr lang="en-IN" sz="10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3</xdr:col>
      <xdr:colOff>171947</xdr:colOff>
      <xdr:row>0</xdr:row>
      <xdr:rowOff>165652</xdr:rowOff>
    </xdr:from>
    <xdr:to>
      <xdr:col>11</xdr:col>
      <xdr:colOff>0</xdr:colOff>
      <xdr:row>15</xdr:row>
      <xdr:rowOff>175591</xdr:rowOff>
    </xdr:to>
    <xdr:graphicFrame macro="">
      <xdr:nvGraphicFramePr>
        <xdr:cNvPr id="16" name="Chart 15">
          <a:extLst>
            <a:ext uri="{FF2B5EF4-FFF2-40B4-BE49-F238E27FC236}">
              <a16:creationId xmlns:a16="http://schemas.microsoft.com/office/drawing/2014/main" id="{4402D16E-FD97-4BD8-8475-FE840EB53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263188</xdr:colOff>
      <xdr:row>0</xdr:row>
      <xdr:rowOff>174307</xdr:rowOff>
    </xdr:from>
    <xdr:to>
      <xdr:col>18</xdr:col>
      <xdr:colOff>257176</xdr:colOff>
      <xdr:row>15</xdr:row>
      <xdr:rowOff>170602</xdr:rowOff>
    </xdr:to>
    <xdr:sp macro="" textlink="">
      <xdr:nvSpPr>
        <xdr:cNvPr id="26" name="Rectangle 25">
          <a:extLst>
            <a:ext uri="{FF2B5EF4-FFF2-40B4-BE49-F238E27FC236}">
              <a16:creationId xmlns:a16="http://schemas.microsoft.com/office/drawing/2014/main" id="{FB9B791C-4032-0611-4B48-526B23753F35}"/>
            </a:ext>
          </a:extLst>
        </xdr:cNvPr>
        <xdr:cNvSpPr/>
      </xdr:nvSpPr>
      <xdr:spPr>
        <a:xfrm>
          <a:off x="7148897" y="174307"/>
          <a:ext cx="4261188" cy="2697931"/>
        </a:xfrm>
        <a:prstGeom prst="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18</xdr:col>
      <xdr:colOff>560292</xdr:colOff>
      <xdr:row>1</xdr:row>
      <xdr:rowOff>8053</xdr:rowOff>
    </xdr:from>
    <xdr:to>
      <xdr:col>24</xdr:col>
      <xdr:colOff>373527</xdr:colOff>
      <xdr:row>16</xdr:row>
      <xdr:rowOff>323</xdr:rowOff>
    </xdr:to>
    <xdr:graphicFrame macro="">
      <xdr:nvGraphicFramePr>
        <xdr:cNvPr id="27" name="Chart 26">
          <a:extLst>
            <a:ext uri="{FF2B5EF4-FFF2-40B4-BE49-F238E27FC236}">
              <a16:creationId xmlns:a16="http://schemas.microsoft.com/office/drawing/2014/main" id="{D8D7901A-87F9-4A1F-A63E-731839961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171946</xdr:colOff>
      <xdr:row>16</xdr:row>
      <xdr:rowOff>141941</xdr:rowOff>
    </xdr:from>
    <xdr:to>
      <xdr:col>11</xdr:col>
      <xdr:colOff>-1</xdr:colOff>
      <xdr:row>41</xdr:row>
      <xdr:rowOff>115747</xdr:rowOff>
    </xdr:to>
    <xdr:graphicFrame macro="">
      <xdr:nvGraphicFramePr>
        <xdr:cNvPr id="28" name="Chart 27">
          <a:extLst>
            <a:ext uri="{FF2B5EF4-FFF2-40B4-BE49-F238E27FC236}">
              <a16:creationId xmlns:a16="http://schemas.microsoft.com/office/drawing/2014/main" id="{CE618069-8CED-4FEC-AE1A-00E2ACFCA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560292</xdr:colOff>
      <xdr:row>17</xdr:row>
      <xdr:rowOff>45178</xdr:rowOff>
    </xdr:from>
    <xdr:to>
      <xdr:col>24</xdr:col>
      <xdr:colOff>373527</xdr:colOff>
      <xdr:row>29</xdr:row>
      <xdr:rowOff>17161</xdr:rowOff>
    </xdr:to>
    <xdr:graphicFrame macro="">
      <xdr:nvGraphicFramePr>
        <xdr:cNvPr id="34" name="Chart 33">
          <a:extLst>
            <a:ext uri="{FF2B5EF4-FFF2-40B4-BE49-F238E27FC236}">
              <a16:creationId xmlns:a16="http://schemas.microsoft.com/office/drawing/2014/main" id="{836C73D3-AC6E-4C4C-879F-DB4D964DC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560291</xdr:colOff>
      <xdr:row>30</xdr:row>
      <xdr:rowOff>0</xdr:rowOff>
    </xdr:from>
    <xdr:to>
      <xdr:col>24</xdr:col>
      <xdr:colOff>373526</xdr:colOff>
      <xdr:row>41</xdr:row>
      <xdr:rowOff>115747</xdr:rowOff>
    </xdr:to>
    <xdr:graphicFrame macro="">
      <xdr:nvGraphicFramePr>
        <xdr:cNvPr id="35" name="Chart 34">
          <a:extLst>
            <a:ext uri="{FF2B5EF4-FFF2-40B4-BE49-F238E27FC236}">
              <a16:creationId xmlns:a16="http://schemas.microsoft.com/office/drawing/2014/main" id="{A89E42AD-EA75-4F57-81B0-45671B892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125572</xdr:colOff>
      <xdr:row>31</xdr:row>
      <xdr:rowOff>143456</xdr:rowOff>
    </xdr:from>
    <xdr:to>
      <xdr:col>2</xdr:col>
      <xdr:colOff>125572</xdr:colOff>
      <xdr:row>41</xdr:row>
      <xdr:rowOff>143456</xdr:rowOff>
    </xdr:to>
    <mc:AlternateContent xmlns:mc="http://schemas.openxmlformats.org/markup-compatibility/2006" xmlns:a14="http://schemas.microsoft.com/office/drawing/2010/main">
      <mc:Choice Requires="a14">
        <xdr:graphicFrame macro="">
          <xdr:nvGraphicFramePr>
            <xdr:cNvPr id="36" name="Order Mode">
              <a:extLst>
                <a:ext uri="{FF2B5EF4-FFF2-40B4-BE49-F238E27FC236}">
                  <a16:creationId xmlns:a16="http://schemas.microsoft.com/office/drawing/2014/main" id="{71FDB768-26D4-49A2-B425-62922840A0CE}"/>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25572" y="5726838"/>
              <a:ext cx="1676400" cy="1801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153280</xdr:colOff>
      <xdr:row>22</xdr:row>
      <xdr:rowOff>119055</xdr:rowOff>
    </xdr:from>
    <xdr:to>
      <xdr:col>2</xdr:col>
      <xdr:colOff>153280</xdr:colOff>
      <xdr:row>31</xdr:row>
      <xdr:rowOff>0</xdr:rowOff>
    </xdr:to>
    <mc:AlternateContent xmlns:mc="http://schemas.openxmlformats.org/markup-compatibility/2006" xmlns:a14="http://schemas.microsoft.com/office/drawing/2010/main">
      <mc:Choice Requires="a14">
        <xdr:graphicFrame macro="">
          <xdr:nvGraphicFramePr>
            <xdr:cNvPr id="37" name="Gender Value">
              <a:extLst>
                <a:ext uri="{FF2B5EF4-FFF2-40B4-BE49-F238E27FC236}">
                  <a16:creationId xmlns:a16="http://schemas.microsoft.com/office/drawing/2014/main" id="{1DF8EF29-8197-49E0-A1FE-BB4F52FCC3A4}"/>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53280" y="4081455"/>
              <a:ext cx="1676400" cy="1501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277042</xdr:colOff>
      <xdr:row>17</xdr:row>
      <xdr:rowOff>17826</xdr:rowOff>
    </xdr:from>
    <xdr:to>
      <xdr:col>18</xdr:col>
      <xdr:colOff>266052</xdr:colOff>
      <xdr:row>41</xdr:row>
      <xdr:rowOff>129601</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E9E991DF-7819-4518-8CDE-C4081C1E8A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150282" y="3126786"/>
              <a:ext cx="4256210" cy="45008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191342</xdr:colOff>
      <xdr:row>21</xdr:row>
      <xdr:rowOff>73306</xdr:rowOff>
    </xdr:from>
    <xdr:to>
      <xdr:col>18</xdr:col>
      <xdr:colOff>191343</xdr:colOff>
      <xdr:row>30</xdr:row>
      <xdr:rowOff>0</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9776ED97-29BB-4CA5-A831-CEBE2919A0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502982" y="3913786"/>
              <a:ext cx="1828801" cy="15726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1</xdr:row>
      <xdr:rowOff>17588</xdr:rowOff>
    </xdr:from>
    <xdr:to>
      <xdr:col>17</xdr:col>
      <xdr:colOff>0</xdr:colOff>
      <xdr:row>2</xdr:row>
      <xdr:rowOff>0</xdr:rowOff>
    </xdr:to>
    <xdr:sp macro="" textlink="">
      <xdr:nvSpPr>
        <xdr:cNvPr id="41" name="TextBox 40">
          <a:extLst>
            <a:ext uri="{FF2B5EF4-FFF2-40B4-BE49-F238E27FC236}">
              <a16:creationId xmlns:a16="http://schemas.microsoft.com/office/drawing/2014/main" id="{5FFF7DCF-37B8-C58A-1859-E21B86FF5DC6}"/>
            </a:ext>
          </a:extLst>
        </xdr:cNvPr>
        <xdr:cNvSpPr txBox="1"/>
      </xdr:nvSpPr>
      <xdr:spPr>
        <a:xfrm>
          <a:off x="8045824" y="196882"/>
          <a:ext cx="2420470" cy="161706"/>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4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13</xdr:col>
      <xdr:colOff>57716</xdr:colOff>
      <xdr:row>1</xdr:row>
      <xdr:rowOff>152010</xdr:rowOff>
    </xdr:from>
    <xdr:to>
      <xdr:col>16</xdr:col>
      <xdr:colOff>360275</xdr:colOff>
      <xdr:row>2</xdr:row>
      <xdr:rowOff>165652</xdr:rowOff>
    </xdr:to>
    <xdr:sp macro="" textlink="">
      <xdr:nvSpPr>
        <xdr:cNvPr id="43" name="TextBox 42">
          <a:extLst>
            <a:ext uri="{FF2B5EF4-FFF2-40B4-BE49-F238E27FC236}">
              <a16:creationId xmlns:a16="http://schemas.microsoft.com/office/drawing/2014/main" id="{0F9285DD-A7C6-60EA-3559-8DE9BF39EB0F}"/>
            </a:ext>
          </a:extLst>
        </xdr:cNvPr>
        <xdr:cNvSpPr txBox="1"/>
      </xdr:nvSpPr>
      <xdr:spPr>
        <a:xfrm>
          <a:off x="8103540" y="331304"/>
          <a:ext cx="2117911" cy="192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13</xdr:col>
      <xdr:colOff>169775</xdr:colOff>
      <xdr:row>1</xdr:row>
      <xdr:rowOff>17588</xdr:rowOff>
    </xdr:from>
    <xdr:to>
      <xdr:col>18</xdr:col>
      <xdr:colOff>169775</xdr:colOff>
      <xdr:row>3</xdr:row>
      <xdr:rowOff>0</xdr:rowOff>
    </xdr:to>
    <xdr:sp macro="" textlink="">
      <xdr:nvSpPr>
        <xdr:cNvPr id="45" name="TextBox 44">
          <a:extLst>
            <a:ext uri="{FF2B5EF4-FFF2-40B4-BE49-F238E27FC236}">
              <a16:creationId xmlns:a16="http://schemas.microsoft.com/office/drawing/2014/main" id="{E5352478-2E4A-0114-2F77-A930792F0750}"/>
            </a:ext>
          </a:extLst>
        </xdr:cNvPr>
        <xdr:cNvSpPr txBox="1"/>
      </xdr:nvSpPr>
      <xdr:spPr>
        <a:xfrm>
          <a:off x="8215599" y="196882"/>
          <a:ext cx="3025588" cy="341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IN" sz="1400" b="0" i="0" baseline="0">
              <a:solidFill>
                <a:sysClr val="windowText" lastClr="000000"/>
              </a:solidFill>
              <a:effectLst/>
              <a:latin typeface="+mn-lt"/>
              <a:ea typeface="+mn-ea"/>
              <a:cs typeface="+mn-cs"/>
            </a:rPr>
            <a:t>How they like to buy ? </a:t>
          </a:r>
          <a:endParaRPr lang="en-IN" sz="1400">
            <a:solidFill>
              <a:sysClr val="windowText" lastClr="000000"/>
            </a:solidFill>
            <a:effectLst/>
          </a:endParaRPr>
        </a:p>
        <a:p>
          <a:pPr marL="0" indent="0" algn="l"/>
          <a:endParaRPr lang="en-IN"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11</xdr:col>
      <xdr:colOff>510539</xdr:colOff>
      <xdr:row>3</xdr:row>
      <xdr:rowOff>167639</xdr:rowOff>
    </xdr:from>
    <xdr:to>
      <xdr:col>17</xdr:col>
      <xdr:colOff>551833</xdr:colOff>
      <xdr:row>13</xdr:row>
      <xdr:rowOff>65676</xdr:rowOff>
    </xdr:to>
    <xdr:grpSp>
      <xdr:nvGrpSpPr>
        <xdr:cNvPr id="5153" name="Group 33">
          <a:extLst>
            <a:ext uri="{FF2B5EF4-FFF2-40B4-BE49-F238E27FC236}">
              <a16:creationId xmlns:a16="http://schemas.microsoft.com/office/drawing/2014/main" id="{172F43DF-AAAF-6D7C-A5A3-9BAA1D7D3D01}"/>
            </a:ext>
          </a:extLst>
        </xdr:cNvPr>
        <xdr:cNvGrpSpPr>
          <a:grpSpLocks noChangeAspect="1"/>
        </xdr:cNvGrpSpPr>
      </xdr:nvGrpSpPr>
      <xdr:grpSpPr bwMode="auto">
        <a:xfrm>
          <a:off x="7396248" y="707966"/>
          <a:ext cx="3698894" cy="1699128"/>
          <a:chOff x="969" y="94"/>
          <a:chExt cx="459" cy="214"/>
        </a:xfrm>
        <a:effectLst>
          <a:outerShdw blurRad="50800" dist="38100" dir="2700000" algn="tl" rotWithShape="0">
            <a:prstClr val="black">
              <a:alpha val="40000"/>
            </a:prstClr>
          </a:outerShdw>
        </a:effectLst>
      </xdr:grpSpPr>
      <xdr:sp macro="" textlink="">
        <xdr:nvSpPr>
          <xdr:cNvPr id="5152" name="AutoShape 32">
            <a:extLst>
              <a:ext uri="{FF2B5EF4-FFF2-40B4-BE49-F238E27FC236}">
                <a16:creationId xmlns:a16="http://schemas.microsoft.com/office/drawing/2014/main" id="{B7045C17-2456-9A46-92AA-9C510AF27BA0}"/>
              </a:ext>
            </a:extLst>
          </xdr:cNvPr>
          <xdr:cNvSpPr>
            <a:spLocks noChangeAspect="1" noChangeArrowheads="1" noTextEdit="1"/>
          </xdr:cNvSpPr>
        </xdr:nvSpPr>
        <xdr:spPr bwMode="auto">
          <a:xfrm>
            <a:off x="969" y="94"/>
            <a:ext cx="458" cy="2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5154" name="Rectangle 34">
            <a:extLst>
              <a:ext uri="{FF2B5EF4-FFF2-40B4-BE49-F238E27FC236}">
                <a16:creationId xmlns:a16="http://schemas.microsoft.com/office/drawing/2014/main" id="{B13E8343-8FEC-2C1C-CF0D-57F1636015DE}"/>
              </a:ext>
            </a:extLst>
          </xdr:cNvPr>
          <xdr:cNvSpPr>
            <a:spLocks noChangeArrowheads="1"/>
          </xdr:cNvSpPr>
        </xdr:nvSpPr>
        <xdr:spPr bwMode="auto">
          <a:xfrm>
            <a:off x="1146" y="130"/>
            <a:ext cx="72" cy="36"/>
          </a:xfrm>
          <a:prstGeom prst="rect">
            <a:avLst/>
          </a:prstGeom>
          <a:solidFill>
            <a:srgbClr val="5A8AC6"/>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55" name="Rectangle 35">
            <a:extLst>
              <a:ext uri="{FF2B5EF4-FFF2-40B4-BE49-F238E27FC236}">
                <a16:creationId xmlns:a16="http://schemas.microsoft.com/office/drawing/2014/main" id="{5098A51B-E8F2-8639-C9DF-1B25A6FB1CBD}"/>
              </a:ext>
            </a:extLst>
          </xdr:cNvPr>
          <xdr:cNvSpPr>
            <a:spLocks noChangeArrowheads="1"/>
          </xdr:cNvSpPr>
        </xdr:nvSpPr>
        <xdr:spPr bwMode="auto">
          <a:xfrm>
            <a:off x="1217" y="130"/>
            <a:ext cx="71" cy="36"/>
          </a:xfrm>
          <a:prstGeom prst="rect">
            <a:avLst/>
          </a:prstGeom>
          <a:solidFill>
            <a:srgbClr val="A2BCD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56" name="Rectangle 36">
            <a:extLst>
              <a:ext uri="{FF2B5EF4-FFF2-40B4-BE49-F238E27FC236}">
                <a16:creationId xmlns:a16="http://schemas.microsoft.com/office/drawing/2014/main" id="{4C2488D9-6EB3-A8F5-9DED-9E2C393A8125}"/>
              </a:ext>
            </a:extLst>
          </xdr:cNvPr>
          <xdr:cNvSpPr>
            <a:spLocks noChangeArrowheads="1"/>
          </xdr:cNvSpPr>
        </xdr:nvSpPr>
        <xdr:spPr bwMode="auto">
          <a:xfrm>
            <a:off x="1287" y="130"/>
            <a:ext cx="70" cy="36"/>
          </a:xfrm>
          <a:prstGeom prst="rect">
            <a:avLst/>
          </a:prstGeom>
          <a:solidFill>
            <a:srgbClr val="F98E91"/>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57" name="Rectangle 37">
            <a:extLst>
              <a:ext uri="{FF2B5EF4-FFF2-40B4-BE49-F238E27FC236}">
                <a16:creationId xmlns:a16="http://schemas.microsoft.com/office/drawing/2014/main" id="{213BBE63-EE95-BD04-BB77-6ED1E145A74D}"/>
              </a:ext>
            </a:extLst>
          </xdr:cNvPr>
          <xdr:cNvSpPr>
            <a:spLocks noChangeArrowheads="1"/>
          </xdr:cNvSpPr>
        </xdr:nvSpPr>
        <xdr:spPr bwMode="auto">
          <a:xfrm>
            <a:off x="1356" y="130"/>
            <a:ext cx="71" cy="36"/>
          </a:xfrm>
          <a:prstGeom prst="rect">
            <a:avLst/>
          </a:prstGeom>
          <a:solidFill>
            <a:srgbClr val="FBE2E4"/>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58" name="Rectangle 38">
            <a:extLst>
              <a:ext uri="{FF2B5EF4-FFF2-40B4-BE49-F238E27FC236}">
                <a16:creationId xmlns:a16="http://schemas.microsoft.com/office/drawing/2014/main" id="{3BF786A1-605D-3FD7-7182-CD7B26ED4250}"/>
              </a:ext>
            </a:extLst>
          </xdr:cNvPr>
          <xdr:cNvSpPr>
            <a:spLocks noChangeArrowheads="1"/>
          </xdr:cNvSpPr>
        </xdr:nvSpPr>
        <xdr:spPr bwMode="auto">
          <a:xfrm>
            <a:off x="1146" y="165"/>
            <a:ext cx="72" cy="37"/>
          </a:xfrm>
          <a:prstGeom prst="rect">
            <a:avLst/>
          </a:prstGeom>
          <a:solidFill>
            <a:srgbClr val="EEF2FA"/>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59" name="Rectangle 39">
            <a:extLst>
              <a:ext uri="{FF2B5EF4-FFF2-40B4-BE49-F238E27FC236}">
                <a16:creationId xmlns:a16="http://schemas.microsoft.com/office/drawing/2014/main" id="{00F5D19C-0158-C6B2-C182-6EF6CA4E3D90}"/>
              </a:ext>
            </a:extLst>
          </xdr:cNvPr>
          <xdr:cNvSpPr>
            <a:spLocks noChangeArrowheads="1"/>
          </xdr:cNvSpPr>
        </xdr:nvSpPr>
        <xdr:spPr bwMode="auto">
          <a:xfrm>
            <a:off x="1217" y="165"/>
            <a:ext cx="71" cy="37"/>
          </a:xfrm>
          <a:prstGeom prst="rect">
            <a:avLst/>
          </a:prstGeom>
          <a:solidFill>
            <a:srgbClr val="F6F8FD"/>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60" name="Rectangle 40">
            <a:extLst>
              <a:ext uri="{FF2B5EF4-FFF2-40B4-BE49-F238E27FC236}">
                <a16:creationId xmlns:a16="http://schemas.microsoft.com/office/drawing/2014/main" id="{91C69EC5-BA62-195C-1AA8-790E01E64BD2}"/>
              </a:ext>
            </a:extLst>
          </xdr:cNvPr>
          <xdr:cNvSpPr>
            <a:spLocks noChangeArrowheads="1"/>
          </xdr:cNvSpPr>
        </xdr:nvSpPr>
        <xdr:spPr bwMode="auto">
          <a:xfrm>
            <a:off x="1287" y="165"/>
            <a:ext cx="70" cy="37"/>
          </a:xfrm>
          <a:prstGeom prst="rect">
            <a:avLst/>
          </a:prstGeom>
          <a:solidFill>
            <a:srgbClr val="F8696B"/>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61" name="Rectangle 41">
            <a:extLst>
              <a:ext uri="{FF2B5EF4-FFF2-40B4-BE49-F238E27FC236}">
                <a16:creationId xmlns:a16="http://schemas.microsoft.com/office/drawing/2014/main" id="{1CBD100C-32ED-1565-9B60-C495BB1765EF}"/>
              </a:ext>
            </a:extLst>
          </xdr:cNvPr>
          <xdr:cNvSpPr>
            <a:spLocks noChangeArrowheads="1"/>
          </xdr:cNvSpPr>
        </xdr:nvSpPr>
        <xdr:spPr bwMode="auto">
          <a:xfrm>
            <a:off x="1356" y="165"/>
            <a:ext cx="71" cy="37"/>
          </a:xfrm>
          <a:prstGeom prst="rect">
            <a:avLst/>
          </a:prstGeom>
          <a:solidFill>
            <a:srgbClr val="F9ACA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62" name="Rectangle 42">
            <a:extLst>
              <a:ext uri="{FF2B5EF4-FFF2-40B4-BE49-F238E27FC236}">
                <a16:creationId xmlns:a16="http://schemas.microsoft.com/office/drawing/2014/main" id="{882B08A7-563D-2905-E66C-E4DA9391DD70}"/>
              </a:ext>
            </a:extLst>
          </xdr:cNvPr>
          <xdr:cNvSpPr>
            <a:spLocks noChangeArrowheads="1"/>
          </xdr:cNvSpPr>
        </xdr:nvSpPr>
        <xdr:spPr bwMode="auto">
          <a:xfrm>
            <a:off x="1146" y="201"/>
            <a:ext cx="72" cy="36"/>
          </a:xfrm>
          <a:prstGeom prst="rect">
            <a:avLst/>
          </a:prstGeom>
          <a:solidFill>
            <a:srgbClr val="E0E9F6"/>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63" name="Rectangle 43">
            <a:extLst>
              <a:ext uri="{FF2B5EF4-FFF2-40B4-BE49-F238E27FC236}">
                <a16:creationId xmlns:a16="http://schemas.microsoft.com/office/drawing/2014/main" id="{A34D96A1-5E33-6EA5-0CD4-1D4C4D002474}"/>
              </a:ext>
            </a:extLst>
          </xdr:cNvPr>
          <xdr:cNvSpPr>
            <a:spLocks noChangeArrowheads="1"/>
          </xdr:cNvSpPr>
        </xdr:nvSpPr>
        <xdr:spPr bwMode="auto">
          <a:xfrm>
            <a:off x="1217" y="201"/>
            <a:ext cx="71" cy="36"/>
          </a:xfrm>
          <a:prstGeom prst="rect">
            <a:avLst/>
          </a:prstGeom>
          <a:solidFill>
            <a:srgbClr val="F3F6FC"/>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64" name="Rectangle 44">
            <a:extLst>
              <a:ext uri="{FF2B5EF4-FFF2-40B4-BE49-F238E27FC236}">
                <a16:creationId xmlns:a16="http://schemas.microsoft.com/office/drawing/2014/main" id="{55CAFF07-1B87-510C-6454-1AA8F81D00BE}"/>
              </a:ext>
            </a:extLst>
          </xdr:cNvPr>
          <xdr:cNvSpPr>
            <a:spLocks noChangeArrowheads="1"/>
          </xdr:cNvSpPr>
        </xdr:nvSpPr>
        <xdr:spPr bwMode="auto">
          <a:xfrm>
            <a:off x="1287" y="201"/>
            <a:ext cx="70" cy="36"/>
          </a:xfrm>
          <a:prstGeom prst="rect">
            <a:avLst/>
          </a:prstGeom>
          <a:solidFill>
            <a:srgbClr val="F86C6E"/>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65" name="Rectangle 45">
            <a:extLst>
              <a:ext uri="{FF2B5EF4-FFF2-40B4-BE49-F238E27FC236}">
                <a16:creationId xmlns:a16="http://schemas.microsoft.com/office/drawing/2014/main" id="{86BB7FD7-4DE4-14C5-5EDD-E207F78B8246}"/>
              </a:ext>
            </a:extLst>
          </xdr:cNvPr>
          <xdr:cNvSpPr>
            <a:spLocks noChangeArrowheads="1"/>
          </xdr:cNvSpPr>
        </xdr:nvSpPr>
        <xdr:spPr bwMode="auto">
          <a:xfrm>
            <a:off x="1356" y="201"/>
            <a:ext cx="71" cy="36"/>
          </a:xfrm>
          <a:prstGeom prst="rect">
            <a:avLst/>
          </a:prstGeom>
          <a:solidFill>
            <a:srgbClr val="F87274"/>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66" name="Rectangle 46">
            <a:extLst>
              <a:ext uri="{FF2B5EF4-FFF2-40B4-BE49-F238E27FC236}">
                <a16:creationId xmlns:a16="http://schemas.microsoft.com/office/drawing/2014/main" id="{FA8F3EF2-67B6-0B27-9DB3-CB520DF69EA1}"/>
              </a:ext>
            </a:extLst>
          </xdr:cNvPr>
          <xdr:cNvSpPr>
            <a:spLocks noChangeArrowheads="1"/>
          </xdr:cNvSpPr>
        </xdr:nvSpPr>
        <xdr:spPr bwMode="auto">
          <a:xfrm>
            <a:off x="1146" y="236"/>
            <a:ext cx="72" cy="36"/>
          </a:xfrm>
          <a:prstGeom prst="rect">
            <a:avLst/>
          </a:prstGeom>
          <a:solidFill>
            <a:srgbClr val="BDD0E9"/>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67" name="Rectangle 47">
            <a:extLst>
              <a:ext uri="{FF2B5EF4-FFF2-40B4-BE49-F238E27FC236}">
                <a16:creationId xmlns:a16="http://schemas.microsoft.com/office/drawing/2014/main" id="{CF7616B7-F29C-8B23-7F34-5C33FE684DF2}"/>
              </a:ext>
            </a:extLst>
          </xdr:cNvPr>
          <xdr:cNvSpPr>
            <a:spLocks noChangeArrowheads="1"/>
          </xdr:cNvSpPr>
        </xdr:nvSpPr>
        <xdr:spPr bwMode="auto">
          <a:xfrm>
            <a:off x="1217" y="236"/>
            <a:ext cx="71" cy="36"/>
          </a:xfrm>
          <a:prstGeom prst="rect">
            <a:avLst/>
          </a:prstGeom>
          <a:solidFill>
            <a:srgbClr val="DCE5F4"/>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68" name="Rectangle 48">
            <a:extLst>
              <a:ext uri="{FF2B5EF4-FFF2-40B4-BE49-F238E27FC236}">
                <a16:creationId xmlns:a16="http://schemas.microsoft.com/office/drawing/2014/main" id="{E949362E-AE26-D4D3-F9C6-B7EDB10C8E55}"/>
              </a:ext>
            </a:extLst>
          </xdr:cNvPr>
          <xdr:cNvSpPr>
            <a:spLocks noChangeArrowheads="1"/>
          </xdr:cNvSpPr>
        </xdr:nvSpPr>
        <xdr:spPr bwMode="auto">
          <a:xfrm>
            <a:off x="1287" y="236"/>
            <a:ext cx="70" cy="36"/>
          </a:xfrm>
          <a:prstGeom prst="rect">
            <a:avLst/>
          </a:prstGeom>
          <a:solidFill>
            <a:srgbClr val="F8797B"/>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69" name="Rectangle 49">
            <a:extLst>
              <a:ext uri="{FF2B5EF4-FFF2-40B4-BE49-F238E27FC236}">
                <a16:creationId xmlns:a16="http://schemas.microsoft.com/office/drawing/2014/main" id="{BDD3D362-0251-2D73-33D0-5EC9F12CF3FA}"/>
              </a:ext>
            </a:extLst>
          </xdr:cNvPr>
          <xdr:cNvSpPr>
            <a:spLocks noChangeArrowheads="1"/>
          </xdr:cNvSpPr>
        </xdr:nvSpPr>
        <xdr:spPr bwMode="auto">
          <a:xfrm>
            <a:off x="1356" y="236"/>
            <a:ext cx="71" cy="36"/>
          </a:xfrm>
          <a:prstGeom prst="rect">
            <a:avLst/>
          </a:prstGeom>
          <a:solidFill>
            <a:srgbClr val="F9989A"/>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70" name="Rectangle 50">
            <a:extLst>
              <a:ext uri="{FF2B5EF4-FFF2-40B4-BE49-F238E27FC236}">
                <a16:creationId xmlns:a16="http://schemas.microsoft.com/office/drawing/2014/main" id="{840AF669-77B0-726D-14B9-D728AD1EDA06}"/>
              </a:ext>
            </a:extLst>
          </xdr:cNvPr>
          <xdr:cNvSpPr>
            <a:spLocks noChangeArrowheads="1"/>
          </xdr:cNvSpPr>
        </xdr:nvSpPr>
        <xdr:spPr bwMode="auto">
          <a:xfrm>
            <a:off x="1146" y="271"/>
            <a:ext cx="72" cy="36"/>
          </a:xfrm>
          <a:prstGeom prst="rect">
            <a:avLst/>
          </a:prstGeom>
          <a:solidFill>
            <a:srgbClr val="9FBBD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71" name="Rectangle 51">
            <a:extLst>
              <a:ext uri="{FF2B5EF4-FFF2-40B4-BE49-F238E27FC236}">
                <a16:creationId xmlns:a16="http://schemas.microsoft.com/office/drawing/2014/main" id="{AC7A057C-BA32-1624-93CD-9D7D84836595}"/>
              </a:ext>
            </a:extLst>
          </xdr:cNvPr>
          <xdr:cNvSpPr>
            <a:spLocks noChangeArrowheads="1"/>
          </xdr:cNvSpPr>
        </xdr:nvSpPr>
        <xdr:spPr bwMode="auto">
          <a:xfrm>
            <a:off x="1217" y="271"/>
            <a:ext cx="71" cy="36"/>
          </a:xfrm>
          <a:prstGeom prst="rect">
            <a:avLst/>
          </a:prstGeom>
          <a:solidFill>
            <a:srgbClr val="C3D4EB"/>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72" name="Rectangle 52">
            <a:extLst>
              <a:ext uri="{FF2B5EF4-FFF2-40B4-BE49-F238E27FC236}">
                <a16:creationId xmlns:a16="http://schemas.microsoft.com/office/drawing/2014/main" id="{0D664251-E18D-CA44-A55C-A1C199D41D98}"/>
              </a:ext>
            </a:extLst>
          </xdr:cNvPr>
          <xdr:cNvSpPr>
            <a:spLocks noChangeArrowheads="1"/>
          </xdr:cNvSpPr>
        </xdr:nvSpPr>
        <xdr:spPr bwMode="auto">
          <a:xfrm>
            <a:off x="1287" y="271"/>
            <a:ext cx="70" cy="36"/>
          </a:xfrm>
          <a:prstGeom prst="rect">
            <a:avLst/>
          </a:prstGeom>
          <a:solidFill>
            <a:srgbClr val="F87C7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73" name="Rectangle 53">
            <a:extLst>
              <a:ext uri="{FF2B5EF4-FFF2-40B4-BE49-F238E27FC236}">
                <a16:creationId xmlns:a16="http://schemas.microsoft.com/office/drawing/2014/main" id="{BF646462-91E6-D3DB-B661-2C4F2317E6AD}"/>
              </a:ext>
            </a:extLst>
          </xdr:cNvPr>
          <xdr:cNvSpPr>
            <a:spLocks noChangeArrowheads="1"/>
          </xdr:cNvSpPr>
        </xdr:nvSpPr>
        <xdr:spPr bwMode="auto">
          <a:xfrm>
            <a:off x="1356" y="271"/>
            <a:ext cx="71" cy="36"/>
          </a:xfrm>
          <a:prstGeom prst="rect">
            <a:avLst/>
          </a:prstGeom>
          <a:solidFill>
            <a:srgbClr val="F99698"/>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74" name="Rectangle 54">
            <a:extLst>
              <a:ext uri="{FF2B5EF4-FFF2-40B4-BE49-F238E27FC236}">
                <a16:creationId xmlns:a16="http://schemas.microsoft.com/office/drawing/2014/main" id="{FDC219AA-C4E7-186C-18C8-8E818DC7E2E5}"/>
              </a:ext>
            </a:extLst>
          </xdr:cNvPr>
          <xdr:cNvSpPr>
            <a:spLocks noChangeArrowheads="1"/>
          </xdr:cNvSpPr>
        </xdr:nvSpPr>
        <xdr:spPr bwMode="auto">
          <a:xfrm>
            <a:off x="1155" y="106"/>
            <a:ext cx="52"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Female</a:t>
            </a:r>
          </a:p>
        </xdr:txBody>
      </xdr:sp>
      <xdr:sp macro="" textlink="">
        <xdr:nvSpPr>
          <xdr:cNvPr id="5175" name="Rectangle 55">
            <a:extLst>
              <a:ext uri="{FF2B5EF4-FFF2-40B4-BE49-F238E27FC236}">
                <a16:creationId xmlns:a16="http://schemas.microsoft.com/office/drawing/2014/main" id="{63C44707-E270-7FC2-0CB0-8260D8308FBA}"/>
              </a:ext>
            </a:extLst>
          </xdr:cNvPr>
          <xdr:cNvSpPr>
            <a:spLocks noChangeArrowheads="1"/>
          </xdr:cNvSpPr>
        </xdr:nvSpPr>
        <xdr:spPr bwMode="auto">
          <a:xfrm>
            <a:off x="1235" y="106"/>
            <a:ext cx="34"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Male</a:t>
            </a:r>
          </a:p>
        </xdr:txBody>
      </xdr:sp>
      <xdr:sp macro="" textlink="">
        <xdr:nvSpPr>
          <xdr:cNvPr id="5176" name="Rectangle 56">
            <a:extLst>
              <a:ext uri="{FF2B5EF4-FFF2-40B4-BE49-F238E27FC236}">
                <a16:creationId xmlns:a16="http://schemas.microsoft.com/office/drawing/2014/main" id="{1E884D64-70CB-F805-CDA9-49421710DE01}"/>
              </a:ext>
            </a:extLst>
          </xdr:cNvPr>
          <xdr:cNvSpPr>
            <a:spLocks noChangeArrowheads="1"/>
          </xdr:cNvSpPr>
        </xdr:nvSpPr>
        <xdr:spPr bwMode="auto">
          <a:xfrm>
            <a:off x="1302" y="106"/>
            <a:ext cx="40"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Other</a:t>
            </a:r>
          </a:p>
        </xdr:txBody>
      </xdr:sp>
      <xdr:sp macro="" textlink="">
        <xdr:nvSpPr>
          <xdr:cNvPr id="5177" name="Rectangle 57">
            <a:extLst>
              <a:ext uri="{FF2B5EF4-FFF2-40B4-BE49-F238E27FC236}">
                <a16:creationId xmlns:a16="http://schemas.microsoft.com/office/drawing/2014/main" id="{996D9D32-D8BE-B691-3362-0140A7695A3A}"/>
              </a:ext>
            </a:extLst>
          </xdr:cNvPr>
          <xdr:cNvSpPr>
            <a:spLocks noChangeArrowheads="1"/>
          </xdr:cNvSpPr>
        </xdr:nvSpPr>
        <xdr:spPr bwMode="auto">
          <a:xfrm>
            <a:off x="1358" y="106"/>
            <a:ext cx="6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Unknown</a:t>
            </a:r>
          </a:p>
        </xdr:txBody>
      </xdr:sp>
      <xdr:sp macro="" textlink="">
        <xdr:nvSpPr>
          <xdr:cNvPr id="5178" name="Rectangle 58">
            <a:extLst>
              <a:ext uri="{FF2B5EF4-FFF2-40B4-BE49-F238E27FC236}">
                <a16:creationId xmlns:a16="http://schemas.microsoft.com/office/drawing/2014/main" id="{FF9C9A6E-0042-9A89-B19E-8BB35C536E48}"/>
              </a:ext>
            </a:extLst>
          </xdr:cNvPr>
          <xdr:cNvSpPr>
            <a:spLocks noChangeArrowheads="1"/>
          </xdr:cNvSpPr>
        </xdr:nvSpPr>
        <xdr:spPr bwMode="auto">
          <a:xfrm>
            <a:off x="974" y="141"/>
            <a:ext cx="28"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App</a:t>
            </a:r>
          </a:p>
        </xdr:txBody>
      </xdr:sp>
      <xdr:sp macro="" textlink="">
        <xdr:nvSpPr>
          <xdr:cNvPr id="5179" name="Rectangle 59">
            <a:extLst>
              <a:ext uri="{FF2B5EF4-FFF2-40B4-BE49-F238E27FC236}">
                <a16:creationId xmlns:a16="http://schemas.microsoft.com/office/drawing/2014/main" id="{B241AC28-7AE6-FA50-E611-E35E7CB99E95}"/>
              </a:ext>
            </a:extLst>
          </xdr:cNvPr>
          <xdr:cNvSpPr>
            <a:spLocks noChangeArrowheads="1"/>
          </xdr:cNvSpPr>
        </xdr:nvSpPr>
        <xdr:spPr bwMode="auto">
          <a:xfrm>
            <a:off x="1160" y="141"/>
            <a:ext cx="45"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19.0%</a:t>
            </a:r>
          </a:p>
        </xdr:txBody>
      </xdr:sp>
      <xdr:sp macro="" textlink="">
        <xdr:nvSpPr>
          <xdr:cNvPr id="5180" name="Rectangle 60">
            <a:extLst>
              <a:ext uri="{FF2B5EF4-FFF2-40B4-BE49-F238E27FC236}">
                <a16:creationId xmlns:a16="http://schemas.microsoft.com/office/drawing/2014/main" id="{58E341CE-B552-55F6-A41A-8501C091A28D}"/>
              </a:ext>
            </a:extLst>
          </xdr:cNvPr>
          <xdr:cNvSpPr>
            <a:spLocks noChangeArrowheads="1"/>
          </xdr:cNvSpPr>
        </xdr:nvSpPr>
        <xdr:spPr bwMode="auto">
          <a:xfrm>
            <a:off x="1231" y="141"/>
            <a:ext cx="45"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12.3%</a:t>
            </a:r>
          </a:p>
        </xdr:txBody>
      </xdr:sp>
      <xdr:sp macro="" textlink="">
        <xdr:nvSpPr>
          <xdr:cNvPr id="5181" name="Rectangle 61">
            <a:extLst>
              <a:ext uri="{FF2B5EF4-FFF2-40B4-BE49-F238E27FC236}">
                <a16:creationId xmlns:a16="http://schemas.microsoft.com/office/drawing/2014/main" id="{85D3A343-258D-8943-DE7B-B730EF72BA27}"/>
              </a:ext>
            </a:extLst>
          </xdr:cNvPr>
          <xdr:cNvSpPr>
            <a:spLocks noChangeArrowheads="1"/>
          </xdr:cNvSpPr>
        </xdr:nvSpPr>
        <xdr:spPr bwMode="auto">
          <a:xfrm>
            <a:off x="1305" y="141"/>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1.1%</a:t>
            </a:r>
          </a:p>
        </xdr:txBody>
      </xdr:sp>
      <xdr:sp macro="" textlink="">
        <xdr:nvSpPr>
          <xdr:cNvPr id="5182" name="Rectangle 62">
            <a:extLst>
              <a:ext uri="{FF2B5EF4-FFF2-40B4-BE49-F238E27FC236}">
                <a16:creationId xmlns:a16="http://schemas.microsoft.com/office/drawing/2014/main" id="{6647FB74-3600-F29D-0F6A-8BE83DCAE83F}"/>
              </a:ext>
            </a:extLst>
          </xdr:cNvPr>
          <xdr:cNvSpPr>
            <a:spLocks noChangeArrowheads="1"/>
          </xdr:cNvSpPr>
        </xdr:nvSpPr>
        <xdr:spPr bwMode="auto">
          <a:xfrm>
            <a:off x="1374" y="141"/>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3.1%</a:t>
            </a:r>
          </a:p>
        </xdr:txBody>
      </xdr:sp>
      <xdr:sp macro="" textlink="">
        <xdr:nvSpPr>
          <xdr:cNvPr id="5183" name="Rectangle 63">
            <a:extLst>
              <a:ext uri="{FF2B5EF4-FFF2-40B4-BE49-F238E27FC236}">
                <a16:creationId xmlns:a16="http://schemas.microsoft.com/office/drawing/2014/main" id="{D80F5D48-49B6-FD35-4A0B-7518E6912356}"/>
              </a:ext>
            </a:extLst>
          </xdr:cNvPr>
          <xdr:cNvSpPr>
            <a:spLocks noChangeArrowheads="1"/>
          </xdr:cNvSpPr>
        </xdr:nvSpPr>
        <xdr:spPr bwMode="auto">
          <a:xfrm>
            <a:off x="974" y="177"/>
            <a:ext cx="71"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Instagram</a:t>
            </a:r>
          </a:p>
        </xdr:txBody>
      </xdr:sp>
      <xdr:sp macro="" textlink="">
        <xdr:nvSpPr>
          <xdr:cNvPr id="5184" name="Rectangle 64">
            <a:extLst>
              <a:ext uri="{FF2B5EF4-FFF2-40B4-BE49-F238E27FC236}">
                <a16:creationId xmlns:a16="http://schemas.microsoft.com/office/drawing/2014/main" id="{FF3D282B-BF48-F36E-C0D6-0AC9578F82D3}"/>
              </a:ext>
            </a:extLst>
          </xdr:cNvPr>
          <xdr:cNvSpPr>
            <a:spLocks noChangeArrowheads="1"/>
          </xdr:cNvSpPr>
        </xdr:nvSpPr>
        <xdr:spPr bwMode="auto">
          <a:xfrm>
            <a:off x="1164" y="177"/>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5.0%</a:t>
            </a:r>
          </a:p>
        </xdr:txBody>
      </xdr:sp>
      <xdr:sp macro="" textlink="">
        <xdr:nvSpPr>
          <xdr:cNvPr id="5185" name="Rectangle 65">
            <a:extLst>
              <a:ext uri="{FF2B5EF4-FFF2-40B4-BE49-F238E27FC236}">
                <a16:creationId xmlns:a16="http://schemas.microsoft.com/office/drawing/2014/main" id="{9C44934B-A7F7-F090-3B03-ABC5BB7841BD}"/>
              </a:ext>
            </a:extLst>
          </xdr:cNvPr>
          <xdr:cNvSpPr>
            <a:spLocks noChangeArrowheads="1"/>
          </xdr:cNvSpPr>
        </xdr:nvSpPr>
        <xdr:spPr bwMode="auto">
          <a:xfrm>
            <a:off x="1235" y="177"/>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4.3%</a:t>
            </a:r>
          </a:p>
        </xdr:txBody>
      </xdr:sp>
      <xdr:sp macro="" textlink="">
        <xdr:nvSpPr>
          <xdr:cNvPr id="5186" name="Rectangle 66">
            <a:extLst>
              <a:ext uri="{FF2B5EF4-FFF2-40B4-BE49-F238E27FC236}">
                <a16:creationId xmlns:a16="http://schemas.microsoft.com/office/drawing/2014/main" id="{66963C35-E188-A5AF-E0F5-2A4F855E5EB4}"/>
              </a:ext>
            </a:extLst>
          </xdr:cNvPr>
          <xdr:cNvSpPr>
            <a:spLocks noChangeArrowheads="1"/>
          </xdr:cNvSpPr>
        </xdr:nvSpPr>
        <xdr:spPr bwMode="auto">
          <a:xfrm>
            <a:off x="1305" y="177"/>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0.2%</a:t>
            </a:r>
          </a:p>
        </xdr:txBody>
      </xdr:sp>
      <xdr:sp macro="" textlink="">
        <xdr:nvSpPr>
          <xdr:cNvPr id="5187" name="Rectangle 67">
            <a:extLst>
              <a:ext uri="{FF2B5EF4-FFF2-40B4-BE49-F238E27FC236}">
                <a16:creationId xmlns:a16="http://schemas.microsoft.com/office/drawing/2014/main" id="{458502AF-D11D-B45D-9399-37E0B4AAE84C}"/>
              </a:ext>
            </a:extLst>
          </xdr:cNvPr>
          <xdr:cNvSpPr>
            <a:spLocks noChangeArrowheads="1"/>
          </xdr:cNvSpPr>
        </xdr:nvSpPr>
        <xdr:spPr bwMode="auto">
          <a:xfrm>
            <a:off x="1374" y="177"/>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1.8%</a:t>
            </a:r>
          </a:p>
        </xdr:txBody>
      </xdr:sp>
      <xdr:sp macro="" textlink="">
        <xdr:nvSpPr>
          <xdr:cNvPr id="5188" name="Rectangle 68">
            <a:extLst>
              <a:ext uri="{FF2B5EF4-FFF2-40B4-BE49-F238E27FC236}">
                <a16:creationId xmlns:a16="http://schemas.microsoft.com/office/drawing/2014/main" id="{A4111B47-AE5E-6F1F-3BE4-A91A06324355}"/>
              </a:ext>
            </a:extLst>
          </xdr:cNvPr>
          <xdr:cNvSpPr>
            <a:spLocks noChangeArrowheads="1"/>
          </xdr:cNvSpPr>
        </xdr:nvSpPr>
        <xdr:spPr bwMode="auto">
          <a:xfrm>
            <a:off x="974" y="211"/>
            <a:ext cx="82"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Partner App</a:t>
            </a:r>
          </a:p>
        </xdr:txBody>
      </xdr:sp>
      <xdr:sp macro="" textlink="">
        <xdr:nvSpPr>
          <xdr:cNvPr id="5189" name="Rectangle 69">
            <a:extLst>
              <a:ext uri="{FF2B5EF4-FFF2-40B4-BE49-F238E27FC236}">
                <a16:creationId xmlns:a16="http://schemas.microsoft.com/office/drawing/2014/main" id="{769F571F-2917-7F35-4DBF-B11885088804}"/>
              </a:ext>
            </a:extLst>
          </xdr:cNvPr>
          <xdr:cNvSpPr>
            <a:spLocks noChangeArrowheads="1"/>
          </xdr:cNvSpPr>
        </xdr:nvSpPr>
        <xdr:spPr bwMode="auto">
          <a:xfrm>
            <a:off x="1164" y="211"/>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6.3%</a:t>
            </a:r>
          </a:p>
        </xdr:txBody>
      </xdr:sp>
      <xdr:sp macro="" textlink="">
        <xdr:nvSpPr>
          <xdr:cNvPr id="5190" name="Rectangle 70">
            <a:extLst>
              <a:ext uri="{FF2B5EF4-FFF2-40B4-BE49-F238E27FC236}">
                <a16:creationId xmlns:a16="http://schemas.microsoft.com/office/drawing/2014/main" id="{5D90C068-F690-57B8-D373-FEC2E766F006}"/>
              </a:ext>
            </a:extLst>
          </xdr:cNvPr>
          <xdr:cNvSpPr>
            <a:spLocks noChangeArrowheads="1"/>
          </xdr:cNvSpPr>
        </xdr:nvSpPr>
        <xdr:spPr bwMode="auto">
          <a:xfrm>
            <a:off x="1235" y="211"/>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4.6%</a:t>
            </a:r>
          </a:p>
        </xdr:txBody>
      </xdr:sp>
      <xdr:sp macro="" textlink="">
        <xdr:nvSpPr>
          <xdr:cNvPr id="5191" name="Rectangle 71">
            <a:extLst>
              <a:ext uri="{FF2B5EF4-FFF2-40B4-BE49-F238E27FC236}">
                <a16:creationId xmlns:a16="http://schemas.microsoft.com/office/drawing/2014/main" id="{6FB12601-5AEB-D422-0F40-095243611D16}"/>
              </a:ext>
            </a:extLst>
          </xdr:cNvPr>
          <xdr:cNvSpPr>
            <a:spLocks noChangeArrowheads="1"/>
          </xdr:cNvSpPr>
        </xdr:nvSpPr>
        <xdr:spPr bwMode="auto">
          <a:xfrm>
            <a:off x="1305" y="211"/>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0.2%</a:t>
            </a:r>
          </a:p>
        </xdr:txBody>
      </xdr:sp>
      <xdr:sp macro="" textlink="">
        <xdr:nvSpPr>
          <xdr:cNvPr id="5192" name="Rectangle 72">
            <a:extLst>
              <a:ext uri="{FF2B5EF4-FFF2-40B4-BE49-F238E27FC236}">
                <a16:creationId xmlns:a16="http://schemas.microsoft.com/office/drawing/2014/main" id="{A0424E2E-22E8-93B5-2D2D-C4B15ADC095C}"/>
              </a:ext>
            </a:extLst>
          </xdr:cNvPr>
          <xdr:cNvSpPr>
            <a:spLocks noChangeArrowheads="1"/>
          </xdr:cNvSpPr>
        </xdr:nvSpPr>
        <xdr:spPr bwMode="auto">
          <a:xfrm>
            <a:off x="1374" y="211"/>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0.4%</a:t>
            </a:r>
          </a:p>
        </xdr:txBody>
      </xdr:sp>
      <xdr:sp macro="" textlink="">
        <xdr:nvSpPr>
          <xdr:cNvPr id="5193" name="Rectangle 73">
            <a:extLst>
              <a:ext uri="{FF2B5EF4-FFF2-40B4-BE49-F238E27FC236}">
                <a16:creationId xmlns:a16="http://schemas.microsoft.com/office/drawing/2014/main" id="{C1192006-87AC-994C-7E2D-7F2410188799}"/>
              </a:ext>
            </a:extLst>
          </xdr:cNvPr>
          <xdr:cNvSpPr>
            <a:spLocks noChangeArrowheads="1"/>
          </xdr:cNvSpPr>
        </xdr:nvSpPr>
        <xdr:spPr bwMode="auto">
          <a:xfrm>
            <a:off x="974" y="247"/>
            <a:ext cx="79"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Target.com</a:t>
            </a:r>
          </a:p>
        </xdr:txBody>
      </xdr:sp>
      <xdr:sp macro="" textlink="">
        <xdr:nvSpPr>
          <xdr:cNvPr id="5194" name="Rectangle 74">
            <a:extLst>
              <a:ext uri="{FF2B5EF4-FFF2-40B4-BE49-F238E27FC236}">
                <a16:creationId xmlns:a16="http://schemas.microsoft.com/office/drawing/2014/main" id="{824D46A4-C871-1029-F73F-A76721A98839}"/>
              </a:ext>
            </a:extLst>
          </xdr:cNvPr>
          <xdr:cNvSpPr>
            <a:spLocks noChangeArrowheads="1"/>
          </xdr:cNvSpPr>
        </xdr:nvSpPr>
        <xdr:spPr bwMode="auto">
          <a:xfrm>
            <a:off x="1164" y="247"/>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9.6%</a:t>
            </a:r>
          </a:p>
        </xdr:txBody>
      </xdr:sp>
      <xdr:sp macro="" textlink="">
        <xdr:nvSpPr>
          <xdr:cNvPr id="5195" name="Rectangle 75">
            <a:extLst>
              <a:ext uri="{FF2B5EF4-FFF2-40B4-BE49-F238E27FC236}">
                <a16:creationId xmlns:a16="http://schemas.microsoft.com/office/drawing/2014/main" id="{FF742589-79B0-64B8-B43A-1E3D517633E3}"/>
              </a:ext>
            </a:extLst>
          </xdr:cNvPr>
          <xdr:cNvSpPr>
            <a:spLocks noChangeArrowheads="1"/>
          </xdr:cNvSpPr>
        </xdr:nvSpPr>
        <xdr:spPr bwMode="auto">
          <a:xfrm>
            <a:off x="1235" y="247"/>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6.8%</a:t>
            </a:r>
          </a:p>
        </xdr:txBody>
      </xdr:sp>
      <xdr:sp macro="" textlink="">
        <xdr:nvSpPr>
          <xdr:cNvPr id="5196" name="Rectangle 76">
            <a:extLst>
              <a:ext uri="{FF2B5EF4-FFF2-40B4-BE49-F238E27FC236}">
                <a16:creationId xmlns:a16="http://schemas.microsoft.com/office/drawing/2014/main" id="{379C807A-75B5-703F-B1C3-1DE5C2DD70C0}"/>
              </a:ext>
            </a:extLst>
          </xdr:cNvPr>
          <xdr:cNvSpPr>
            <a:spLocks noChangeArrowheads="1"/>
          </xdr:cNvSpPr>
        </xdr:nvSpPr>
        <xdr:spPr bwMode="auto">
          <a:xfrm>
            <a:off x="1305" y="247"/>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0.5%</a:t>
            </a:r>
          </a:p>
        </xdr:txBody>
      </xdr:sp>
      <xdr:sp macro="" textlink="">
        <xdr:nvSpPr>
          <xdr:cNvPr id="5197" name="Rectangle 77">
            <a:extLst>
              <a:ext uri="{FF2B5EF4-FFF2-40B4-BE49-F238E27FC236}">
                <a16:creationId xmlns:a16="http://schemas.microsoft.com/office/drawing/2014/main" id="{8F99D25E-FAA5-8A15-B702-EE51FACF23A5}"/>
              </a:ext>
            </a:extLst>
          </xdr:cNvPr>
          <xdr:cNvSpPr>
            <a:spLocks noChangeArrowheads="1"/>
          </xdr:cNvSpPr>
        </xdr:nvSpPr>
        <xdr:spPr bwMode="auto">
          <a:xfrm>
            <a:off x="1374" y="247"/>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1.3%</a:t>
            </a:r>
          </a:p>
        </xdr:txBody>
      </xdr:sp>
      <xdr:sp macro="" textlink="">
        <xdr:nvSpPr>
          <xdr:cNvPr id="5198" name="Rectangle 78">
            <a:extLst>
              <a:ext uri="{FF2B5EF4-FFF2-40B4-BE49-F238E27FC236}">
                <a16:creationId xmlns:a16="http://schemas.microsoft.com/office/drawing/2014/main" id="{96EEF8C1-96DD-6C55-D7AA-0052FE51984C}"/>
              </a:ext>
            </a:extLst>
          </xdr:cNvPr>
          <xdr:cNvSpPr>
            <a:spLocks noChangeArrowheads="1"/>
          </xdr:cNvSpPr>
        </xdr:nvSpPr>
        <xdr:spPr bwMode="auto">
          <a:xfrm>
            <a:off x="974" y="283"/>
            <a:ext cx="58"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Website</a:t>
            </a:r>
          </a:p>
        </xdr:txBody>
      </xdr:sp>
      <xdr:sp macro="" textlink="">
        <xdr:nvSpPr>
          <xdr:cNvPr id="5199" name="Rectangle 79">
            <a:extLst>
              <a:ext uri="{FF2B5EF4-FFF2-40B4-BE49-F238E27FC236}">
                <a16:creationId xmlns:a16="http://schemas.microsoft.com/office/drawing/2014/main" id="{623C0524-5C8E-52AE-C9A5-05F5D4D731AE}"/>
              </a:ext>
            </a:extLst>
          </xdr:cNvPr>
          <xdr:cNvSpPr>
            <a:spLocks noChangeArrowheads="1"/>
          </xdr:cNvSpPr>
        </xdr:nvSpPr>
        <xdr:spPr bwMode="auto">
          <a:xfrm>
            <a:off x="1160" y="283"/>
            <a:ext cx="45"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12.5%</a:t>
            </a:r>
          </a:p>
        </xdr:txBody>
      </xdr:sp>
      <xdr:sp macro="" textlink="">
        <xdr:nvSpPr>
          <xdr:cNvPr id="5200" name="Rectangle 80">
            <a:extLst>
              <a:ext uri="{FF2B5EF4-FFF2-40B4-BE49-F238E27FC236}">
                <a16:creationId xmlns:a16="http://schemas.microsoft.com/office/drawing/2014/main" id="{D48040CC-FCBF-63FE-890B-E2A5038900CC}"/>
              </a:ext>
            </a:extLst>
          </xdr:cNvPr>
          <xdr:cNvSpPr>
            <a:spLocks noChangeArrowheads="1"/>
          </xdr:cNvSpPr>
        </xdr:nvSpPr>
        <xdr:spPr bwMode="auto">
          <a:xfrm>
            <a:off x="1235" y="283"/>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9.1%</a:t>
            </a:r>
          </a:p>
        </xdr:txBody>
      </xdr:sp>
      <xdr:sp macro="" textlink="">
        <xdr:nvSpPr>
          <xdr:cNvPr id="5201" name="Rectangle 81">
            <a:extLst>
              <a:ext uri="{FF2B5EF4-FFF2-40B4-BE49-F238E27FC236}">
                <a16:creationId xmlns:a16="http://schemas.microsoft.com/office/drawing/2014/main" id="{9CAA1EF6-B1CD-AA52-04AA-BCE87EDB9465}"/>
              </a:ext>
            </a:extLst>
          </xdr:cNvPr>
          <xdr:cNvSpPr>
            <a:spLocks noChangeArrowheads="1"/>
          </xdr:cNvSpPr>
        </xdr:nvSpPr>
        <xdr:spPr bwMode="auto">
          <a:xfrm>
            <a:off x="1305" y="283"/>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0.6%</a:t>
            </a:r>
          </a:p>
        </xdr:txBody>
      </xdr:sp>
      <xdr:sp macro="" textlink="">
        <xdr:nvSpPr>
          <xdr:cNvPr id="5202" name="Rectangle 82">
            <a:extLst>
              <a:ext uri="{FF2B5EF4-FFF2-40B4-BE49-F238E27FC236}">
                <a16:creationId xmlns:a16="http://schemas.microsoft.com/office/drawing/2014/main" id="{638D342C-F244-0253-09C6-F14C2710302C}"/>
              </a:ext>
            </a:extLst>
          </xdr:cNvPr>
          <xdr:cNvSpPr>
            <a:spLocks noChangeArrowheads="1"/>
          </xdr:cNvSpPr>
        </xdr:nvSpPr>
        <xdr:spPr bwMode="auto">
          <a:xfrm>
            <a:off x="1374" y="283"/>
            <a:ext cx="36"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horzOverflow="clip" wrap="none" lIns="0" tIns="0" rIns="0" bIns="0" anchor="t">
            <a:spAutoFit/>
          </a:bodyPr>
          <a:lstStyle/>
          <a:p>
            <a:pPr algn="l" rtl="0">
              <a:defRPr sz="1000"/>
            </a:pPr>
            <a:r>
              <a:rPr lang="en-IN" sz="1100" b="0" i="0" u="none" strike="noStrike" baseline="0">
                <a:ln>
                  <a:noFill/>
                </a:ln>
                <a:solidFill>
                  <a:srgbClr val="000000"/>
                </a:solidFill>
                <a:latin typeface="Aptos Narrow"/>
              </a:rPr>
              <a:t>1.2%</a:t>
            </a:r>
          </a:p>
        </xdr:txBody>
      </xdr:sp>
      <xdr:sp macro="" textlink="">
        <xdr:nvSpPr>
          <xdr:cNvPr id="5203" name="Rectangle 83">
            <a:extLst>
              <a:ext uri="{FF2B5EF4-FFF2-40B4-BE49-F238E27FC236}">
                <a16:creationId xmlns:a16="http://schemas.microsoft.com/office/drawing/2014/main" id="{0F3FD821-3CF3-460B-F57A-170870E7C56E}"/>
              </a:ext>
            </a:extLst>
          </xdr:cNvPr>
          <xdr:cNvSpPr>
            <a:spLocks noChangeArrowheads="1"/>
          </xdr:cNvSpPr>
        </xdr:nvSpPr>
        <xdr:spPr bwMode="auto">
          <a:xfrm>
            <a:off x="1146" y="94"/>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04" name="Line 84">
            <a:extLst>
              <a:ext uri="{FF2B5EF4-FFF2-40B4-BE49-F238E27FC236}">
                <a16:creationId xmlns:a16="http://schemas.microsoft.com/office/drawing/2014/main" id="{590F7142-206D-A23B-3F6F-A08015F49632}"/>
              </a:ext>
            </a:extLst>
          </xdr:cNvPr>
          <xdr:cNvSpPr>
            <a:spLocks noChangeShapeType="1"/>
          </xdr:cNvSpPr>
        </xdr:nvSpPr>
        <xdr:spPr bwMode="auto">
          <a:xfrm>
            <a:off x="969" y="94"/>
            <a:ext cx="176" cy="0"/>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05" name="Rectangle 85">
            <a:extLst>
              <a:ext uri="{FF2B5EF4-FFF2-40B4-BE49-F238E27FC236}">
                <a16:creationId xmlns:a16="http://schemas.microsoft.com/office/drawing/2014/main" id="{CF5D9DD3-5922-A7E5-07F2-DFF1167A7388}"/>
              </a:ext>
            </a:extLst>
          </xdr:cNvPr>
          <xdr:cNvSpPr>
            <a:spLocks noChangeArrowheads="1"/>
          </xdr:cNvSpPr>
        </xdr:nvSpPr>
        <xdr:spPr bwMode="auto">
          <a:xfrm>
            <a:off x="969" y="94"/>
            <a:ext cx="176"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06" name="Rectangle 86">
            <a:extLst>
              <a:ext uri="{FF2B5EF4-FFF2-40B4-BE49-F238E27FC236}">
                <a16:creationId xmlns:a16="http://schemas.microsoft.com/office/drawing/2014/main" id="{CFF56F66-E202-58F3-E2E0-95F419B1EFEA}"/>
              </a:ext>
            </a:extLst>
          </xdr:cNvPr>
          <xdr:cNvSpPr>
            <a:spLocks noChangeArrowheads="1"/>
          </xdr:cNvSpPr>
        </xdr:nvSpPr>
        <xdr:spPr bwMode="auto">
          <a:xfrm>
            <a:off x="1217" y="94"/>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07" name="Line 87">
            <a:extLst>
              <a:ext uri="{FF2B5EF4-FFF2-40B4-BE49-F238E27FC236}">
                <a16:creationId xmlns:a16="http://schemas.microsoft.com/office/drawing/2014/main" id="{7ED8A416-195D-0FEE-87EE-4FDC0F1AAA12}"/>
              </a:ext>
            </a:extLst>
          </xdr:cNvPr>
          <xdr:cNvSpPr>
            <a:spLocks noChangeShapeType="1"/>
          </xdr:cNvSpPr>
        </xdr:nvSpPr>
        <xdr:spPr bwMode="auto">
          <a:xfrm>
            <a:off x="1148" y="94"/>
            <a:ext cx="68" cy="0"/>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08" name="Rectangle 88">
            <a:extLst>
              <a:ext uri="{FF2B5EF4-FFF2-40B4-BE49-F238E27FC236}">
                <a16:creationId xmlns:a16="http://schemas.microsoft.com/office/drawing/2014/main" id="{55612DAE-1DFE-A2F3-A072-952D9D5FFB6B}"/>
              </a:ext>
            </a:extLst>
          </xdr:cNvPr>
          <xdr:cNvSpPr>
            <a:spLocks noChangeArrowheads="1"/>
          </xdr:cNvSpPr>
        </xdr:nvSpPr>
        <xdr:spPr bwMode="auto">
          <a:xfrm>
            <a:off x="1148" y="94"/>
            <a:ext cx="68"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09" name="Rectangle 89">
            <a:extLst>
              <a:ext uri="{FF2B5EF4-FFF2-40B4-BE49-F238E27FC236}">
                <a16:creationId xmlns:a16="http://schemas.microsoft.com/office/drawing/2014/main" id="{E0CB25AD-3E90-4736-66E5-43BC1C17C7E5}"/>
              </a:ext>
            </a:extLst>
          </xdr:cNvPr>
          <xdr:cNvSpPr>
            <a:spLocks noChangeArrowheads="1"/>
          </xdr:cNvSpPr>
        </xdr:nvSpPr>
        <xdr:spPr bwMode="auto">
          <a:xfrm>
            <a:off x="1287" y="94"/>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10" name="Line 90">
            <a:extLst>
              <a:ext uri="{FF2B5EF4-FFF2-40B4-BE49-F238E27FC236}">
                <a16:creationId xmlns:a16="http://schemas.microsoft.com/office/drawing/2014/main" id="{49353A5A-C7DC-117F-B3B7-462E5B034235}"/>
              </a:ext>
            </a:extLst>
          </xdr:cNvPr>
          <xdr:cNvSpPr>
            <a:spLocks noChangeShapeType="1"/>
          </xdr:cNvSpPr>
        </xdr:nvSpPr>
        <xdr:spPr bwMode="auto">
          <a:xfrm>
            <a:off x="1219" y="94"/>
            <a:ext cx="67" cy="0"/>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11" name="Rectangle 91">
            <a:extLst>
              <a:ext uri="{FF2B5EF4-FFF2-40B4-BE49-F238E27FC236}">
                <a16:creationId xmlns:a16="http://schemas.microsoft.com/office/drawing/2014/main" id="{1258DD4A-0738-B4D8-E7E1-D679084720C7}"/>
              </a:ext>
            </a:extLst>
          </xdr:cNvPr>
          <xdr:cNvSpPr>
            <a:spLocks noChangeArrowheads="1"/>
          </xdr:cNvSpPr>
        </xdr:nvSpPr>
        <xdr:spPr bwMode="auto">
          <a:xfrm>
            <a:off x="1219" y="94"/>
            <a:ext cx="67"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12" name="Rectangle 92">
            <a:extLst>
              <a:ext uri="{FF2B5EF4-FFF2-40B4-BE49-F238E27FC236}">
                <a16:creationId xmlns:a16="http://schemas.microsoft.com/office/drawing/2014/main" id="{481FA547-8DB8-E7BA-8605-B5AB0A02D81E}"/>
              </a:ext>
            </a:extLst>
          </xdr:cNvPr>
          <xdr:cNvSpPr>
            <a:spLocks noChangeArrowheads="1"/>
          </xdr:cNvSpPr>
        </xdr:nvSpPr>
        <xdr:spPr bwMode="auto">
          <a:xfrm>
            <a:off x="1356" y="94"/>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13" name="Line 93">
            <a:extLst>
              <a:ext uri="{FF2B5EF4-FFF2-40B4-BE49-F238E27FC236}">
                <a16:creationId xmlns:a16="http://schemas.microsoft.com/office/drawing/2014/main" id="{0C44D292-388A-FE30-C9AC-7E821427EC48}"/>
              </a:ext>
            </a:extLst>
          </xdr:cNvPr>
          <xdr:cNvSpPr>
            <a:spLocks noChangeShapeType="1"/>
          </xdr:cNvSpPr>
        </xdr:nvSpPr>
        <xdr:spPr bwMode="auto">
          <a:xfrm>
            <a:off x="1289" y="94"/>
            <a:ext cx="66" cy="0"/>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14" name="Rectangle 94">
            <a:extLst>
              <a:ext uri="{FF2B5EF4-FFF2-40B4-BE49-F238E27FC236}">
                <a16:creationId xmlns:a16="http://schemas.microsoft.com/office/drawing/2014/main" id="{6EC224F4-CD61-21BC-621A-F30B04A90098}"/>
              </a:ext>
            </a:extLst>
          </xdr:cNvPr>
          <xdr:cNvSpPr>
            <a:spLocks noChangeArrowheads="1"/>
          </xdr:cNvSpPr>
        </xdr:nvSpPr>
        <xdr:spPr bwMode="auto">
          <a:xfrm>
            <a:off x="1289" y="94"/>
            <a:ext cx="66"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15" name="Rectangle 95">
            <a:extLst>
              <a:ext uri="{FF2B5EF4-FFF2-40B4-BE49-F238E27FC236}">
                <a16:creationId xmlns:a16="http://schemas.microsoft.com/office/drawing/2014/main" id="{23B78216-7830-A58B-3C48-168D64E3DEA8}"/>
              </a:ext>
            </a:extLst>
          </xdr:cNvPr>
          <xdr:cNvSpPr>
            <a:spLocks noChangeArrowheads="1"/>
          </xdr:cNvSpPr>
        </xdr:nvSpPr>
        <xdr:spPr bwMode="auto">
          <a:xfrm>
            <a:off x="969" y="129"/>
            <a:ext cx="458" cy="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16" name="Line 96">
            <a:extLst>
              <a:ext uri="{FF2B5EF4-FFF2-40B4-BE49-F238E27FC236}">
                <a16:creationId xmlns:a16="http://schemas.microsoft.com/office/drawing/2014/main" id="{11B79326-13F2-F690-4987-5B3909777D48}"/>
              </a:ext>
            </a:extLst>
          </xdr:cNvPr>
          <xdr:cNvSpPr>
            <a:spLocks noChangeShapeType="1"/>
          </xdr:cNvSpPr>
        </xdr:nvSpPr>
        <xdr:spPr bwMode="auto">
          <a:xfrm>
            <a:off x="969" y="94"/>
            <a:ext cx="0" cy="35"/>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17" name="Rectangle 97">
            <a:extLst>
              <a:ext uri="{FF2B5EF4-FFF2-40B4-BE49-F238E27FC236}">
                <a16:creationId xmlns:a16="http://schemas.microsoft.com/office/drawing/2014/main" id="{F4A6E9FE-20B6-0089-3C63-006A3E2F31E9}"/>
              </a:ext>
            </a:extLst>
          </xdr:cNvPr>
          <xdr:cNvSpPr>
            <a:spLocks noChangeArrowheads="1"/>
          </xdr:cNvSpPr>
        </xdr:nvSpPr>
        <xdr:spPr bwMode="auto">
          <a:xfrm>
            <a:off x="969" y="94"/>
            <a:ext cx="1" cy="35"/>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18" name="Rectangle 98">
            <a:extLst>
              <a:ext uri="{FF2B5EF4-FFF2-40B4-BE49-F238E27FC236}">
                <a16:creationId xmlns:a16="http://schemas.microsoft.com/office/drawing/2014/main" id="{EBF4BE34-7000-42BF-B008-F9AFC272E45B}"/>
              </a:ext>
            </a:extLst>
          </xdr:cNvPr>
          <xdr:cNvSpPr>
            <a:spLocks noChangeArrowheads="1"/>
          </xdr:cNvSpPr>
        </xdr:nvSpPr>
        <xdr:spPr bwMode="auto">
          <a:xfrm>
            <a:off x="969" y="164"/>
            <a:ext cx="458" cy="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19" name="Line 99">
            <a:extLst>
              <a:ext uri="{FF2B5EF4-FFF2-40B4-BE49-F238E27FC236}">
                <a16:creationId xmlns:a16="http://schemas.microsoft.com/office/drawing/2014/main" id="{6408F72E-BA80-FA9D-C480-EE40877EEE8D}"/>
              </a:ext>
            </a:extLst>
          </xdr:cNvPr>
          <xdr:cNvSpPr>
            <a:spLocks noChangeShapeType="1"/>
          </xdr:cNvSpPr>
        </xdr:nvSpPr>
        <xdr:spPr bwMode="auto">
          <a:xfrm>
            <a:off x="1426" y="94"/>
            <a:ext cx="0" cy="35"/>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20" name="Rectangle 100">
            <a:extLst>
              <a:ext uri="{FF2B5EF4-FFF2-40B4-BE49-F238E27FC236}">
                <a16:creationId xmlns:a16="http://schemas.microsoft.com/office/drawing/2014/main" id="{3C17A3F1-0B31-B1AB-018F-C8F222A45154}"/>
              </a:ext>
            </a:extLst>
          </xdr:cNvPr>
          <xdr:cNvSpPr>
            <a:spLocks noChangeArrowheads="1"/>
          </xdr:cNvSpPr>
        </xdr:nvSpPr>
        <xdr:spPr bwMode="auto">
          <a:xfrm>
            <a:off x="1426" y="94"/>
            <a:ext cx="1" cy="35"/>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21" name="Line 101">
            <a:extLst>
              <a:ext uri="{FF2B5EF4-FFF2-40B4-BE49-F238E27FC236}">
                <a16:creationId xmlns:a16="http://schemas.microsoft.com/office/drawing/2014/main" id="{43EACDC5-22CE-B08D-4416-5AB88BE127BC}"/>
              </a:ext>
            </a:extLst>
          </xdr:cNvPr>
          <xdr:cNvSpPr>
            <a:spLocks noChangeShapeType="1"/>
          </xdr:cNvSpPr>
        </xdr:nvSpPr>
        <xdr:spPr bwMode="auto">
          <a:xfrm>
            <a:off x="969" y="132"/>
            <a:ext cx="0" cy="32"/>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22" name="Rectangle 102">
            <a:extLst>
              <a:ext uri="{FF2B5EF4-FFF2-40B4-BE49-F238E27FC236}">
                <a16:creationId xmlns:a16="http://schemas.microsoft.com/office/drawing/2014/main" id="{8B63D94A-602F-BCF1-0BD6-39C072DFDE51}"/>
              </a:ext>
            </a:extLst>
          </xdr:cNvPr>
          <xdr:cNvSpPr>
            <a:spLocks noChangeArrowheads="1"/>
          </xdr:cNvSpPr>
        </xdr:nvSpPr>
        <xdr:spPr bwMode="auto">
          <a:xfrm>
            <a:off x="969" y="132"/>
            <a:ext cx="1" cy="32"/>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23" name="Rectangle 103">
            <a:extLst>
              <a:ext uri="{FF2B5EF4-FFF2-40B4-BE49-F238E27FC236}">
                <a16:creationId xmlns:a16="http://schemas.microsoft.com/office/drawing/2014/main" id="{866105CD-978F-A6F5-D988-C14E9F0B6B9C}"/>
              </a:ext>
            </a:extLst>
          </xdr:cNvPr>
          <xdr:cNvSpPr>
            <a:spLocks noChangeArrowheads="1"/>
          </xdr:cNvSpPr>
        </xdr:nvSpPr>
        <xdr:spPr bwMode="auto">
          <a:xfrm>
            <a:off x="969" y="200"/>
            <a:ext cx="458" cy="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24" name="Line 104">
            <a:extLst>
              <a:ext uri="{FF2B5EF4-FFF2-40B4-BE49-F238E27FC236}">
                <a16:creationId xmlns:a16="http://schemas.microsoft.com/office/drawing/2014/main" id="{61AAD995-4B43-EE32-1BF1-5628A435A00F}"/>
              </a:ext>
            </a:extLst>
          </xdr:cNvPr>
          <xdr:cNvSpPr>
            <a:spLocks noChangeShapeType="1"/>
          </xdr:cNvSpPr>
        </xdr:nvSpPr>
        <xdr:spPr bwMode="auto">
          <a:xfrm>
            <a:off x="969" y="167"/>
            <a:ext cx="0" cy="33"/>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25" name="Rectangle 105">
            <a:extLst>
              <a:ext uri="{FF2B5EF4-FFF2-40B4-BE49-F238E27FC236}">
                <a16:creationId xmlns:a16="http://schemas.microsoft.com/office/drawing/2014/main" id="{80D96B2F-FF97-BCA6-978E-ABB8C8B4665A}"/>
              </a:ext>
            </a:extLst>
          </xdr:cNvPr>
          <xdr:cNvSpPr>
            <a:spLocks noChangeArrowheads="1"/>
          </xdr:cNvSpPr>
        </xdr:nvSpPr>
        <xdr:spPr bwMode="auto">
          <a:xfrm>
            <a:off x="969" y="167"/>
            <a:ext cx="1" cy="33"/>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26" name="Rectangle 106">
            <a:extLst>
              <a:ext uri="{FF2B5EF4-FFF2-40B4-BE49-F238E27FC236}">
                <a16:creationId xmlns:a16="http://schemas.microsoft.com/office/drawing/2014/main" id="{EA29975A-B74B-79C6-B139-35CDC1E5F051}"/>
              </a:ext>
            </a:extLst>
          </xdr:cNvPr>
          <xdr:cNvSpPr>
            <a:spLocks noChangeArrowheads="1"/>
          </xdr:cNvSpPr>
        </xdr:nvSpPr>
        <xdr:spPr bwMode="auto">
          <a:xfrm>
            <a:off x="969" y="235"/>
            <a:ext cx="458" cy="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27" name="Line 107">
            <a:extLst>
              <a:ext uri="{FF2B5EF4-FFF2-40B4-BE49-F238E27FC236}">
                <a16:creationId xmlns:a16="http://schemas.microsoft.com/office/drawing/2014/main" id="{8EA60296-8E3C-B482-B4CE-4232AB2FE890}"/>
              </a:ext>
            </a:extLst>
          </xdr:cNvPr>
          <xdr:cNvSpPr>
            <a:spLocks noChangeShapeType="1"/>
          </xdr:cNvSpPr>
        </xdr:nvSpPr>
        <xdr:spPr bwMode="auto">
          <a:xfrm>
            <a:off x="969" y="203"/>
            <a:ext cx="0" cy="32"/>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28" name="Rectangle 108">
            <a:extLst>
              <a:ext uri="{FF2B5EF4-FFF2-40B4-BE49-F238E27FC236}">
                <a16:creationId xmlns:a16="http://schemas.microsoft.com/office/drawing/2014/main" id="{2BA7C8D9-98D8-C2E3-B1E5-65D4732466BF}"/>
              </a:ext>
            </a:extLst>
          </xdr:cNvPr>
          <xdr:cNvSpPr>
            <a:spLocks noChangeArrowheads="1"/>
          </xdr:cNvSpPr>
        </xdr:nvSpPr>
        <xdr:spPr bwMode="auto">
          <a:xfrm>
            <a:off x="969" y="203"/>
            <a:ext cx="1" cy="32"/>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29" name="Rectangle 109">
            <a:extLst>
              <a:ext uri="{FF2B5EF4-FFF2-40B4-BE49-F238E27FC236}">
                <a16:creationId xmlns:a16="http://schemas.microsoft.com/office/drawing/2014/main" id="{2A4051AF-6F8C-6D16-14E6-4779487DEDBF}"/>
              </a:ext>
            </a:extLst>
          </xdr:cNvPr>
          <xdr:cNvSpPr>
            <a:spLocks noChangeArrowheads="1"/>
          </xdr:cNvSpPr>
        </xdr:nvSpPr>
        <xdr:spPr bwMode="auto">
          <a:xfrm>
            <a:off x="969" y="270"/>
            <a:ext cx="458" cy="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30" name="Line 110">
            <a:extLst>
              <a:ext uri="{FF2B5EF4-FFF2-40B4-BE49-F238E27FC236}">
                <a16:creationId xmlns:a16="http://schemas.microsoft.com/office/drawing/2014/main" id="{9D74DE1B-A1E6-3202-B636-F55F03206647}"/>
              </a:ext>
            </a:extLst>
          </xdr:cNvPr>
          <xdr:cNvSpPr>
            <a:spLocks noChangeShapeType="1"/>
          </xdr:cNvSpPr>
        </xdr:nvSpPr>
        <xdr:spPr bwMode="auto">
          <a:xfrm>
            <a:off x="969" y="238"/>
            <a:ext cx="0" cy="32"/>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31" name="Rectangle 111">
            <a:extLst>
              <a:ext uri="{FF2B5EF4-FFF2-40B4-BE49-F238E27FC236}">
                <a16:creationId xmlns:a16="http://schemas.microsoft.com/office/drawing/2014/main" id="{B721FF57-48EE-7794-5663-47CDF6BBD201}"/>
              </a:ext>
            </a:extLst>
          </xdr:cNvPr>
          <xdr:cNvSpPr>
            <a:spLocks noChangeArrowheads="1"/>
          </xdr:cNvSpPr>
        </xdr:nvSpPr>
        <xdr:spPr bwMode="auto">
          <a:xfrm>
            <a:off x="969" y="238"/>
            <a:ext cx="1" cy="32"/>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32" name="Rectangle 112">
            <a:extLst>
              <a:ext uri="{FF2B5EF4-FFF2-40B4-BE49-F238E27FC236}">
                <a16:creationId xmlns:a16="http://schemas.microsoft.com/office/drawing/2014/main" id="{4C705383-23DF-AC4C-2B76-8C89FD3CC74F}"/>
              </a:ext>
            </a:extLst>
          </xdr:cNvPr>
          <xdr:cNvSpPr>
            <a:spLocks noChangeArrowheads="1"/>
          </xdr:cNvSpPr>
        </xdr:nvSpPr>
        <xdr:spPr bwMode="auto">
          <a:xfrm>
            <a:off x="1145" y="94"/>
            <a:ext cx="3" cy="21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33" name="Line 113">
            <a:extLst>
              <a:ext uri="{FF2B5EF4-FFF2-40B4-BE49-F238E27FC236}">
                <a16:creationId xmlns:a16="http://schemas.microsoft.com/office/drawing/2014/main" id="{DD1674DB-50EE-81B6-F693-29EF6573AAF0}"/>
              </a:ext>
            </a:extLst>
          </xdr:cNvPr>
          <xdr:cNvSpPr>
            <a:spLocks noChangeShapeType="1"/>
          </xdr:cNvSpPr>
        </xdr:nvSpPr>
        <xdr:spPr bwMode="auto">
          <a:xfrm>
            <a:off x="969" y="306"/>
            <a:ext cx="176" cy="0"/>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34" name="Rectangle 114">
            <a:extLst>
              <a:ext uri="{FF2B5EF4-FFF2-40B4-BE49-F238E27FC236}">
                <a16:creationId xmlns:a16="http://schemas.microsoft.com/office/drawing/2014/main" id="{E759168F-C34F-08D7-BB88-CA870275ED25}"/>
              </a:ext>
            </a:extLst>
          </xdr:cNvPr>
          <xdr:cNvSpPr>
            <a:spLocks noChangeArrowheads="1"/>
          </xdr:cNvSpPr>
        </xdr:nvSpPr>
        <xdr:spPr bwMode="auto">
          <a:xfrm>
            <a:off x="969" y="306"/>
            <a:ext cx="176"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35" name="Rectangle 115">
            <a:extLst>
              <a:ext uri="{FF2B5EF4-FFF2-40B4-BE49-F238E27FC236}">
                <a16:creationId xmlns:a16="http://schemas.microsoft.com/office/drawing/2014/main" id="{02F58705-AFDF-8E7E-1E4C-75445EA397D8}"/>
              </a:ext>
            </a:extLst>
          </xdr:cNvPr>
          <xdr:cNvSpPr>
            <a:spLocks noChangeArrowheads="1"/>
          </xdr:cNvSpPr>
        </xdr:nvSpPr>
        <xdr:spPr bwMode="auto">
          <a:xfrm>
            <a:off x="1216" y="94"/>
            <a:ext cx="3" cy="21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36" name="Rectangle 116">
            <a:extLst>
              <a:ext uri="{FF2B5EF4-FFF2-40B4-BE49-F238E27FC236}">
                <a16:creationId xmlns:a16="http://schemas.microsoft.com/office/drawing/2014/main" id="{9F12A8AE-8D7A-8C86-A8C7-D6E93D7A8FAE}"/>
              </a:ext>
            </a:extLst>
          </xdr:cNvPr>
          <xdr:cNvSpPr>
            <a:spLocks noChangeArrowheads="1"/>
          </xdr:cNvSpPr>
        </xdr:nvSpPr>
        <xdr:spPr bwMode="auto">
          <a:xfrm>
            <a:off x="1286" y="94"/>
            <a:ext cx="3" cy="21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37" name="Rectangle 117">
            <a:extLst>
              <a:ext uri="{FF2B5EF4-FFF2-40B4-BE49-F238E27FC236}">
                <a16:creationId xmlns:a16="http://schemas.microsoft.com/office/drawing/2014/main" id="{D0394D28-A525-3880-FA53-5AC37D07E27D}"/>
              </a:ext>
            </a:extLst>
          </xdr:cNvPr>
          <xdr:cNvSpPr>
            <a:spLocks noChangeArrowheads="1"/>
          </xdr:cNvSpPr>
        </xdr:nvSpPr>
        <xdr:spPr bwMode="auto">
          <a:xfrm>
            <a:off x="1355" y="94"/>
            <a:ext cx="3" cy="213"/>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38" name="Line 118">
            <a:extLst>
              <a:ext uri="{FF2B5EF4-FFF2-40B4-BE49-F238E27FC236}">
                <a16:creationId xmlns:a16="http://schemas.microsoft.com/office/drawing/2014/main" id="{3093A406-07BB-CA00-B12B-37B8D6F14DE3}"/>
              </a:ext>
            </a:extLst>
          </xdr:cNvPr>
          <xdr:cNvSpPr>
            <a:spLocks noChangeShapeType="1"/>
          </xdr:cNvSpPr>
        </xdr:nvSpPr>
        <xdr:spPr bwMode="auto">
          <a:xfrm>
            <a:off x="969" y="273"/>
            <a:ext cx="1" cy="34"/>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39" name="Rectangle 119">
            <a:extLst>
              <a:ext uri="{FF2B5EF4-FFF2-40B4-BE49-F238E27FC236}">
                <a16:creationId xmlns:a16="http://schemas.microsoft.com/office/drawing/2014/main" id="{8BCB0457-4165-877B-D58D-7413ADE8FF58}"/>
              </a:ext>
            </a:extLst>
          </xdr:cNvPr>
          <xdr:cNvSpPr>
            <a:spLocks noChangeArrowheads="1"/>
          </xdr:cNvSpPr>
        </xdr:nvSpPr>
        <xdr:spPr bwMode="auto">
          <a:xfrm>
            <a:off x="969" y="273"/>
            <a:ext cx="1" cy="35"/>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40" name="Line 120">
            <a:extLst>
              <a:ext uri="{FF2B5EF4-FFF2-40B4-BE49-F238E27FC236}">
                <a16:creationId xmlns:a16="http://schemas.microsoft.com/office/drawing/2014/main" id="{882CE524-869A-B512-DF1B-0A90D7091176}"/>
              </a:ext>
            </a:extLst>
          </xdr:cNvPr>
          <xdr:cNvSpPr>
            <a:spLocks noChangeShapeType="1"/>
          </xdr:cNvSpPr>
        </xdr:nvSpPr>
        <xdr:spPr bwMode="auto">
          <a:xfrm>
            <a:off x="1146" y="307"/>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41" name="Rectangle 121">
            <a:extLst>
              <a:ext uri="{FF2B5EF4-FFF2-40B4-BE49-F238E27FC236}">
                <a16:creationId xmlns:a16="http://schemas.microsoft.com/office/drawing/2014/main" id="{434CC786-603B-BBED-6CAD-04B1522F23AF}"/>
              </a:ext>
            </a:extLst>
          </xdr:cNvPr>
          <xdr:cNvSpPr>
            <a:spLocks noChangeArrowheads="1"/>
          </xdr:cNvSpPr>
        </xdr:nvSpPr>
        <xdr:spPr bwMode="auto">
          <a:xfrm>
            <a:off x="1146" y="307"/>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42" name="Line 122">
            <a:extLst>
              <a:ext uri="{FF2B5EF4-FFF2-40B4-BE49-F238E27FC236}">
                <a16:creationId xmlns:a16="http://schemas.microsoft.com/office/drawing/2014/main" id="{14D2A4F9-891C-5DBE-5353-CF8927E5B4B7}"/>
              </a:ext>
            </a:extLst>
          </xdr:cNvPr>
          <xdr:cNvSpPr>
            <a:spLocks noChangeShapeType="1"/>
          </xdr:cNvSpPr>
        </xdr:nvSpPr>
        <xdr:spPr bwMode="auto">
          <a:xfrm>
            <a:off x="1217" y="307"/>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43" name="Rectangle 123">
            <a:extLst>
              <a:ext uri="{FF2B5EF4-FFF2-40B4-BE49-F238E27FC236}">
                <a16:creationId xmlns:a16="http://schemas.microsoft.com/office/drawing/2014/main" id="{C9B35DFE-0EFB-3FA8-9ED3-E885474D51CF}"/>
              </a:ext>
            </a:extLst>
          </xdr:cNvPr>
          <xdr:cNvSpPr>
            <a:spLocks noChangeArrowheads="1"/>
          </xdr:cNvSpPr>
        </xdr:nvSpPr>
        <xdr:spPr bwMode="auto">
          <a:xfrm>
            <a:off x="1217" y="307"/>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44" name="Line 124">
            <a:extLst>
              <a:ext uri="{FF2B5EF4-FFF2-40B4-BE49-F238E27FC236}">
                <a16:creationId xmlns:a16="http://schemas.microsoft.com/office/drawing/2014/main" id="{C883ECDD-1F04-6725-D820-AD7A3F14670A}"/>
              </a:ext>
            </a:extLst>
          </xdr:cNvPr>
          <xdr:cNvSpPr>
            <a:spLocks noChangeShapeType="1"/>
          </xdr:cNvSpPr>
        </xdr:nvSpPr>
        <xdr:spPr bwMode="auto">
          <a:xfrm>
            <a:off x="1287" y="307"/>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45" name="Rectangle 125">
            <a:extLst>
              <a:ext uri="{FF2B5EF4-FFF2-40B4-BE49-F238E27FC236}">
                <a16:creationId xmlns:a16="http://schemas.microsoft.com/office/drawing/2014/main" id="{BEB0C7B5-BD4D-CBD8-869E-9E924AF11279}"/>
              </a:ext>
            </a:extLst>
          </xdr:cNvPr>
          <xdr:cNvSpPr>
            <a:spLocks noChangeArrowheads="1"/>
          </xdr:cNvSpPr>
        </xdr:nvSpPr>
        <xdr:spPr bwMode="auto">
          <a:xfrm>
            <a:off x="1287" y="307"/>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46" name="Line 126">
            <a:extLst>
              <a:ext uri="{FF2B5EF4-FFF2-40B4-BE49-F238E27FC236}">
                <a16:creationId xmlns:a16="http://schemas.microsoft.com/office/drawing/2014/main" id="{6C08A137-8CA1-44DB-5DF3-C6D0237A26B6}"/>
              </a:ext>
            </a:extLst>
          </xdr:cNvPr>
          <xdr:cNvSpPr>
            <a:spLocks noChangeShapeType="1"/>
          </xdr:cNvSpPr>
        </xdr:nvSpPr>
        <xdr:spPr bwMode="auto">
          <a:xfrm>
            <a:off x="1356" y="307"/>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47" name="Rectangle 127">
            <a:extLst>
              <a:ext uri="{FF2B5EF4-FFF2-40B4-BE49-F238E27FC236}">
                <a16:creationId xmlns:a16="http://schemas.microsoft.com/office/drawing/2014/main" id="{A467B969-D8D9-1798-7367-CCFBD2F84B48}"/>
              </a:ext>
            </a:extLst>
          </xdr:cNvPr>
          <xdr:cNvSpPr>
            <a:spLocks noChangeArrowheads="1"/>
          </xdr:cNvSpPr>
        </xdr:nvSpPr>
        <xdr:spPr bwMode="auto">
          <a:xfrm>
            <a:off x="1356" y="307"/>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48" name="Line 128">
            <a:extLst>
              <a:ext uri="{FF2B5EF4-FFF2-40B4-BE49-F238E27FC236}">
                <a16:creationId xmlns:a16="http://schemas.microsoft.com/office/drawing/2014/main" id="{7BC6FAAA-7059-8DFB-BD6E-1238961AC7A4}"/>
              </a:ext>
            </a:extLst>
          </xdr:cNvPr>
          <xdr:cNvSpPr>
            <a:spLocks noChangeShapeType="1"/>
          </xdr:cNvSpPr>
        </xdr:nvSpPr>
        <xdr:spPr bwMode="auto">
          <a:xfrm>
            <a:off x="1426" y="307"/>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49" name="Rectangle 129">
            <a:extLst>
              <a:ext uri="{FF2B5EF4-FFF2-40B4-BE49-F238E27FC236}">
                <a16:creationId xmlns:a16="http://schemas.microsoft.com/office/drawing/2014/main" id="{675268CB-1F2E-DC9C-46B1-544D8767DE80}"/>
              </a:ext>
            </a:extLst>
          </xdr:cNvPr>
          <xdr:cNvSpPr>
            <a:spLocks noChangeArrowheads="1"/>
          </xdr:cNvSpPr>
        </xdr:nvSpPr>
        <xdr:spPr bwMode="auto">
          <a:xfrm>
            <a:off x="1426" y="307"/>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50" name="Line 130">
            <a:extLst>
              <a:ext uri="{FF2B5EF4-FFF2-40B4-BE49-F238E27FC236}">
                <a16:creationId xmlns:a16="http://schemas.microsoft.com/office/drawing/2014/main" id="{6A3F6EE7-A6D9-9B7B-CE5B-67C09AF2DF1E}"/>
              </a:ext>
            </a:extLst>
          </xdr:cNvPr>
          <xdr:cNvSpPr>
            <a:spLocks noChangeShapeType="1"/>
          </xdr:cNvSpPr>
        </xdr:nvSpPr>
        <xdr:spPr bwMode="auto">
          <a:xfrm>
            <a:off x="1358" y="94"/>
            <a:ext cx="69"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51" name="Rectangle 131">
            <a:extLst>
              <a:ext uri="{FF2B5EF4-FFF2-40B4-BE49-F238E27FC236}">
                <a16:creationId xmlns:a16="http://schemas.microsoft.com/office/drawing/2014/main" id="{47ECFCA0-F4E7-911F-7938-89BF11A830BA}"/>
              </a:ext>
            </a:extLst>
          </xdr:cNvPr>
          <xdr:cNvSpPr>
            <a:spLocks noChangeArrowheads="1"/>
          </xdr:cNvSpPr>
        </xdr:nvSpPr>
        <xdr:spPr bwMode="auto">
          <a:xfrm>
            <a:off x="1358" y="94"/>
            <a:ext cx="70"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52" name="Line 132">
            <a:extLst>
              <a:ext uri="{FF2B5EF4-FFF2-40B4-BE49-F238E27FC236}">
                <a16:creationId xmlns:a16="http://schemas.microsoft.com/office/drawing/2014/main" id="{F1F8208D-06BE-63BE-66EC-6A93032383B1}"/>
              </a:ext>
            </a:extLst>
          </xdr:cNvPr>
          <xdr:cNvSpPr>
            <a:spLocks noChangeShapeType="1"/>
          </xdr:cNvSpPr>
        </xdr:nvSpPr>
        <xdr:spPr bwMode="auto">
          <a:xfrm>
            <a:off x="1427" y="130"/>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53" name="Rectangle 133">
            <a:extLst>
              <a:ext uri="{FF2B5EF4-FFF2-40B4-BE49-F238E27FC236}">
                <a16:creationId xmlns:a16="http://schemas.microsoft.com/office/drawing/2014/main" id="{4E73063E-330D-009F-A427-4701F0571C98}"/>
              </a:ext>
            </a:extLst>
          </xdr:cNvPr>
          <xdr:cNvSpPr>
            <a:spLocks noChangeArrowheads="1"/>
          </xdr:cNvSpPr>
        </xdr:nvSpPr>
        <xdr:spPr bwMode="auto">
          <a:xfrm>
            <a:off x="1427" y="130"/>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54" name="Line 134">
            <a:extLst>
              <a:ext uri="{FF2B5EF4-FFF2-40B4-BE49-F238E27FC236}">
                <a16:creationId xmlns:a16="http://schemas.microsoft.com/office/drawing/2014/main" id="{25E6475E-907B-7EF6-99FC-A9045DEBAB52}"/>
              </a:ext>
            </a:extLst>
          </xdr:cNvPr>
          <xdr:cNvSpPr>
            <a:spLocks noChangeShapeType="1"/>
          </xdr:cNvSpPr>
        </xdr:nvSpPr>
        <xdr:spPr bwMode="auto">
          <a:xfrm>
            <a:off x="1427" y="165"/>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55" name="Rectangle 135">
            <a:extLst>
              <a:ext uri="{FF2B5EF4-FFF2-40B4-BE49-F238E27FC236}">
                <a16:creationId xmlns:a16="http://schemas.microsoft.com/office/drawing/2014/main" id="{46ED9D7F-BB42-8DD4-84F0-6FBE2A43A124}"/>
              </a:ext>
            </a:extLst>
          </xdr:cNvPr>
          <xdr:cNvSpPr>
            <a:spLocks noChangeArrowheads="1"/>
          </xdr:cNvSpPr>
        </xdr:nvSpPr>
        <xdr:spPr bwMode="auto">
          <a:xfrm>
            <a:off x="1427" y="165"/>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56" name="Line 136">
            <a:extLst>
              <a:ext uri="{FF2B5EF4-FFF2-40B4-BE49-F238E27FC236}">
                <a16:creationId xmlns:a16="http://schemas.microsoft.com/office/drawing/2014/main" id="{F8F24725-C43F-AC50-9906-4C03FD054640}"/>
              </a:ext>
            </a:extLst>
          </xdr:cNvPr>
          <xdr:cNvSpPr>
            <a:spLocks noChangeShapeType="1"/>
          </xdr:cNvSpPr>
        </xdr:nvSpPr>
        <xdr:spPr bwMode="auto">
          <a:xfrm>
            <a:off x="1427" y="201"/>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57" name="Rectangle 137">
            <a:extLst>
              <a:ext uri="{FF2B5EF4-FFF2-40B4-BE49-F238E27FC236}">
                <a16:creationId xmlns:a16="http://schemas.microsoft.com/office/drawing/2014/main" id="{E6D338F1-0F6C-49D9-9467-67988311A2B5}"/>
              </a:ext>
            </a:extLst>
          </xdr:cNvPr>
          <xdr:cNvSpPr>
            <a:spLocks noChangeArrowheads="1"/>
          </xdr:cNvSpPr>
        </xdr:nvSpPr>
        <xdr:spPr bwMode="auto">
          <a:xfrm>
            <a:off x="1427" y="201"/>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58" name="Line 138">
            <a:extLst>
              <a:ext uri="{FF2B5EF4-FFF2-40B4-BE49-F238E27FC236}">
                <a16:creationId xmlns:a16="http://schemas.microsoft.com/office/drawing/2014/main" id="{7B72FACB-AAB5-F6A2-C6F2-BC9238771BA4}"/>
              </a:ext>
            </a:extLst>
          </xdr:cNvPr>
          <xdr:cNvSpPr>
            <a:spLocks noChangeShapeType="1"/>
          </xdr:cNvSpPr>
        </xdr:nvSpPr>
        <xdr:spPr bwMode="auto">
          <a:xfrm>
            <a:off x="1427" y="236"/>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59" name="Rectangle 139">
            <a:extLst>
              <a:ext uri="{FF2B5EF4-FFF2-40B4-BE49-F238E27FC236}">
                <a16:creationId xmlns:a16="http://schemas.microsoft.com/office/drawing/2014/main" id="{E3ACC796-0796-1540-DA8E-5A04A0339EE8}"/>
              </a:ext>
            </a:extLst>
          </xdr:cNvPr>
          <xdr:cNvSpPr>
            <a:spLocks noChangeArrowheads="1"/>
          </xdr:cNvSpPr>
        </xdr:nvSpPr>
        <xdr:spPr bwMode="auto">
          <a:xfrm>
            <a:off x="1427" y="236"/>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60" name="Line 140">
            <a:extLst>
              <a:ext uri="{FF2B5EF4-FFF2-40B4-BE49-F238E27FC236}">
                <a16:creationId xmlns:a16="http://schemas.microsoft.com/office/drawing/2014/main" id="{973F4274-8998-9C34-31EC-0CA53B639ADB}"/>
              </a:ext>
            </a:extLst>
          </xdr:cNvPr>
          <xdr:cNvSpPr>
            <a:spLocks noChangeShapeType="1"/>
          </xdr:cNvSpPr>
        </xdr:nvSpPr>
        <xdr:spPr bwMode="auto">
          <a:xfrm>
            <a:off x="1427" y="271"/>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61" name="Rectangle 141">
            <a:extLst>
              <a:ext uri="{FF2B5EF4-FFF2-40B4-BE49-F238E27FC236}">
                <a16:creationId xmlns:a16="http://schemas.microsoft.com/office/drawing/2014/main" id="{669208C1-6748-FCBB-A6E2-FC72B5AB12FA}"/>
              </a:ext>
            </a:extLst>
          </xdr:cNvPr>
          <xdr:cNvSpPr>
            <a:spLocks noChangeArrowheads="1"/>
          </xdr:cNvSpPr>
        </xdr:nvSpPr>
        <xdr:spPr bwMode="auto">
          <a:xfrm>
            <a:off x="1427" y="271"/>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62" name="Line 142">
            <a:extLst>
              <a:ext uri="{FF2B5EF4-FFF2-40B4-BE49-F238E27FC236}">
                <a16:creationId xmlns:a16="http://schemas.microsoft.com/office/drawing/2014/main" id="{E48CC304-A423-AC95-63CF-A1A1FFBDA0E6}"/>
              </a:ext>
            </a:extLst>
          </xdr:cNvPr>
          <xdr:cNvSpPr>
            <a:spLocks noChangeShapeType="1"/>
          </xdr:cNvSpPr>
        </xdr:nvSpPr>
        <xdr:spPr bwMode="auto">
          <a:xfrm>
            <a:off x="1427" y="306"/>
            <a:ext cx="1" cy="1"/>
          </a:xfrm>
          <a:prstGeom prst="line">
            <a:avLst/>
          </a:prstGeom>
          <a:noFill/>
          <a:ln w="0">
            <a:solidFill>
              <a:srgbClr val="E0E0E0"/>
            </a:solidFill>
            <a:prstDash val="solid"/>
            <a:round/>
            <a:headEnd/>
            <a:tailEnd/>
          </a:ln>
          <a:extLst>
            <a:ext uri="{909E8E84-426E-40DD-AFC4-6F175D3DCCD1}">
              <a14:hiddenFill xmlns:a14="http://schemas.microsoft.com/office/drawing/2010/main">
                <a:noFill/>
              </a14:hiddenFill>
            </a:ext>
          </a:extLst>
        </xdr:spPr>
      </xdr:sp>
      <xdr:sp macro="" textlink="">
        <xdr:nvSpPr>
          <xdr:cNvPr id="5263" name="Rectangle 143">
            <a:extLst>
              <a:ext uri="{FF2B5EF4-FFF2-40B4-BE49-F238E27FC236}">
                <a16:creationId xmlns:a16="http://schemas.microsoft.com/office/drawing/2014/main" id="{EFD3DBDF-A091-DD06-5FDD-A81498F1D3F0}"/>
              </a:ext>
            </a:extLst>
          </xdr:cNvPr>
          <xdr:cNvSpPr>
            <a:spLocks noChangeArrowheads="1"/>
          </xdr:cNvSpPr>
        </xdr:nvSpPr>
        <xdr:spPr bwMode="auto">
          <a:xfrm>
            <a:off x="1427" y="306"/>
            <a:ext cx="1" cy="1"/>
          </a:xfrm>
          <a:prstGeom prst="rect">
            <a:avLst/>
          </a:prstGeom>
          <a:solidFill>
            <a:srgbClr val="E0E0E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18</xdr:col>
      <xdr:colOff>577851</xdr:colOff>
      <xdr:row>30</xdr:row>
      <xdr:rowOff>0</xdr:rowOff>
    </xdr:from>
    <xdr:to>
      <xdr:col>24</xdr:col>
      <xdr:colOff>391086</xdr:colOff>
      <xdr:row>41</xdr:row>
      <xdr:rowOff>115747</xdr:rowOff>
    </xdr:to>
    <xdr:graphicFrame macro="">
      <xdr:nvGraphicFramePr>
        <xdr:cNvPr id="53" name="Chart 52">
          <a:extLst>
            <a:ext uri="{FF2B5EF4-FFF2-40B4-BE49-F238E27FC236}">
              <a16:creationId xmlns:a16="http://schemas.microsoft.com/office/drawing/2014/main" id="{9C01307F-E364-E17F-496F-5EC54E9F3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197243</xdr:colOff>
      <xdr:row>0</xdr:row>
      <xdr:rowOff>80386</xdr:rowOff>
    </xdr:from>
    <xdr:to>
      <xdr:col>1</xdr:col>
      <xdr:colOff>1128390</xdr:colOff>
      <xdr:row>2</xdr:row>
      <xdr:rowOff>156708</xdr:rowOff>
    </xdr:to>
    <xdr:pic>
      <xdr:nvPicPr>
        <xdr:cNvPr id="61" name="Picture 60">
          <a:extLst>
            <a:ext uri="{FF2B5EF4-FFF2-40B4-BE49-F238E27FC236}">
              <a16:creationId xmlns:a16="http://schemas.microsoft.com/office/drawing/2014/main" id="{DE78FD92-BAD9-4957-ABF9-9FDE43E77CE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97243" y="80386"/>
          <a:ext cx="1261347" cy="442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owardhan shete" refreshedDate="46256.678805787036" createdVersion="8" refreshedVersion="8" minRefreshableVersion="3" recordCount="2400" xr:uid="{26641B39-A5AE-439A-837B-4D61C4393A9E}">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631989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6357B6-3F88-4A86-8C47-B1627FD581A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6"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showAll="0"/>
    <pivotField showAll="0">
      <items count="5">
        <item h="1" x="2"/>
        <item h="1" x="1"/>
        <item h="1" x="3"/>
        <item x="0"/>
        <item t="default"/>
      </items>
    </pivotField>
    <pivotField axis="axisRow" showAll="0">
      <items count="8">
        <item x="0"/>
        <item x="1"/>
        <item x="2"/>
        <item x="4"/>
        <item x="3"/>
        <item n="6 to 10" x="5"/>
        <item n="11 to 87"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1111DC-381E-46F6-8CE4-E8C1B4487D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h="1" x="0"/>
        <item h="1" x="3"/>
        <item h="1" x="4"/>
        <item h="1" x="2"/>
        <item x="1"/>
        <item t="default"/>
      </items>
    </pivotField>
    <pivotField showAll="0"/>
    <pivotField showAll="0"/>
    <pivotField showAll="0"/>
    <pivotField showAll="0"/>
    <pivotField showAll="0"/>
    <pivotField axis="axisCol"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2">
    <i>
      <x v="4"/>
    </i>
    <i t="grand">
      <x/>
    </i>
  </rowItems>
  <colFields count="1">
    <field x="14"/>
  </colFields>
  <colItems count="2">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6EF8DC-5707-4439-BDA1-6B287F0AAF7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3:C49"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showAll="0"/>
    <pivotField axis="axisCol" showAll="0">
      <items count="5">
        <item h="1" x="2"/>
        <item h="1" x="1"/>
        <item h="1"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5">
    <i>
      <x v="13"/>
    </i>
    <i>
      <x v="14"/>
    </i>
    <i>
      <x v="15"/>
    </i>
    <i>
      <x v="6"/>
    </i>
    <i>
      <x v="2"/>
    </i>
    <i>
      <x v="12"/>
    </i>
    <i>
      <x v="18"/>
    </i>
    <i>
      <x v="19"/>
    </i>
    <i>
      <x v="17"/>
    </i>
    <i>
      <x v="4"/>
    </i>
    <i>
      <x v="8"/>
    </i>
    <i>
      <x v="1"/>
    </i>
    <i>
      <x v="11"/>
    </i>
    <i>
      <x v="3"/>
    </i>
    <i t="grand">
      <x/>
    </i>
  </rowItems>
  <colFields count="1">
    <field x="14"/>
  </colFields>
  <colItems count="2">
    <i>
      <x v="3"/>
    </i>
    <i t="grand">
      <x/>
    </i>
  </colItems>
  <dataFields count="1">
    <dataField name="Sum of Quantity" fld="2" baseField="0" baseItem="0"/>
  </dataFields>
  <chartFormats count="4">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527485-5D3F-4F3C-B722-08B5A445A86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4:G29"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axis="axisCol" showAll="0">
      <items count="6">
        <item x="3"/>
        <item x="4"/>
        <item x="1"/>
        <item x="0"/>
        <item x="2"/>
        <item t="default"/>
      </items>
    </pivotField>
    <pivotField showAll="0"/>
    <pivotField showAll="0"/>
    <pivotField showAll="0"/>
    <pivotField showAll="0"/>
    <pivotField showAll="0">
      <items count="5">
        <item h="1" x="2"/>
        <item h="1" x="1"/>
        <item h="1"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9" format="6" series="1">
      <pivotArea type="data" outline="0" fieldPosition="0">
        <references count="2">
          <reference field="4294967294" count="1" selected="0">
            <x v="0"/>
          </reference>
          <reference field="17" count="1" selected="0">
            <x v="1"/>
          </reference>
        </references>
      </pivotArea>
    </chartFormat>
    <chartFormat chart="9" format="7" series="1">
      <pivotArea type="data" outline="0" fieldPosition="0">
        <references count="2">
          <reference field="4294967294" count="1" selected="0">
            <x v="0"/>
          </reference>
          <reference field="17" count="1" selected="0">
            <x v="2"/>
          </reference>
        </references>
      </pivotArea>
    </chartFormat>
    <chartFormat chart="9" format="8" series="1">
      <pivotArea type="data" outline="0" fieldPosition="0">
        <references count="2">
          <reference field="4294967294" count="1" selected="0">
            <x v="0"/>
          </reference>
          <reference field="17" count="1" selected="0">
            <x v="3"/>
          </reference>
        </references>
      </pivotArea>
    </chartFormat>
    <chartFormat chart="9" format="9" series="1">
      <pivotArea type="data" outline="0" fieldPosition="0">
        <references count="2">
          <reference field="4294967294" count="1" selected="0">
            <x v="0"/>
          </reference>
          <reference field="9" count="1" selected="0">
            <x v="3"/>
          </reference>
        </references>
      </pivotArea>
    </chartFormat>
    <chartFormat chart="9" format="10" series="1">
      <pivotArea type="data" outline="0" fieldPosition="0">
        <references count="2">
          <reference field="4294967294" count="1" selected="0">
            <x v="0"/>
          </reference>
          <reference field="9" count="1" selected="0">
            <x v="4"/>
          </reference>
        </references>
      </pivotArea>
    </chartFormat>
    <chartFormat chart="9" format="11" series="1">
      <pivotArea type="data" outline="0" fieldPosition="0">
        <references count="2">
          <reference field="4294967294" count="1" selected="0">
            <x v="0"/>
          </reference>
          <reference field="9" count="1" selected="0">
            <x v="0"/>
          </reference>
        </references>
      </pivotArea>
    </chartFormat>
    <chartFormat chart="9" format="12" series="1">
      <pivotArea type="data" outline="0" fieldPosition="0">
        <references count="2">
          <reference field="4294967294" count="1" selected="0">
            <x v="0"/>
          </reference>
          <reference field="9" count="1" selected="0">
            <x v="1"/>
          </reference>
        </references>
      </pivotArea>
    </chartFormat>
    <chartFormat chart="9" format="13" series="1">
      <pivotArea type="data" outline="0" fieldPosition="0">
        <references count="2">
          <reference field="4294967294" count="1" selected="0">
            <x v="0"/>
          </reference>
          <reference field="9" count="1" selected="0">
            <x v="2"/>
          </reference>
        </references>
      </pivotArea>
    </chartFormat>
    <chartFormat chart="14" format="14" series="1">
      <pivotArea type="data" outline="0" fieldPosition="0">
        <references count="2">
          <reference field="4294967294" count="1" selected="0">
            <x v="0"/>
          </reference>
          <reference field="9" count="1" selected="0">
            <x v="0"/>
          </reference>
        </references>
      </pivotArea>
    </chartFormat>
    <chartFormat chart="14" format="15" series="1">
      <pivotArea type="data" outline="0" fieldPosition="0">
        <references count="2">
          <reference field="4294967294" count="1" selected="0">
            <x v="0"/>
          </reference>
          <reference field="9" count="1" selected="0">
            <x v="1"/>
          </reference>
        </references>
      </pivotArea>
    </chartFormat>
    <chartFormat chart="14" format="16" series="1">
      <pivotArea type="data" outline="0" fieldPosition="0">
        <references count="2">
          <reference field="4294967294" count="1" selected="0">
            <x v="0"/>
          </reference>
          <reference field="9" count="1" selected="0">
            <x v="2"/>
          </reference>
        </references>
      </pivotArea>
    </chartFormat>
    <chartFormat chart="14" format="17" series="1">
      <pivotArea type="data" outline="0" fieldPosition="0">
        <references count="2">
          <reference field="4294967294" count="1" selected="0">
            <x v="0"/>
          </reference>
          <reference field="9" count="1" selected="0">
            <x v="3"/>
          </reference>
        </references>
      </pivotArea>
    </chartFormat>
    <chartFormat chart="14" format="18"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95405C-B2CA-4D92-A982-2A96FBADF20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3"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h="1" x="2"/>
        <item h="1" x="1"/>
        <item h="1"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0">
    <i>
      <x/>
    </i>
    <i>
      <x v="1"/>
    </i>
    <i>
      <x v="2"/>
    </i>
    <i>
      <x v="3"/>
    </i>
    <i>
      <x v="4"/>
    </i>
    <i>
      <x v="5"/>
    </i>
    <i>
      <x v="6"/>
    </i>
    <i>
      <x v="7"/>
    </i>
    <i>
      <x v="10"/>
    </i>
    <i t="grand">
      <x/>
    </i>
  </rowItems>
  <colItems count="1">
    <i/>
  </colItems>
  <dataFields count="1">
    <dataField name="Count of TX 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3CB5CD-1355-41DE-9BEB-88B36B4EA005}"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6:D53"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h="1" x="3"/>
        <item h="1" x="4"/>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h="1" x="2"/>
        <item h="1" x="1"/>
        <item h="1"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17">
    <i>
      <x/>
      <x/>
    </i>
    <i r="1">
      <x v="6"/>
    </i>
    <i r="1">
      <x v="9"/>
    </i>
    <i r="1">
      <x v="18"/>
    </i>
    <i r="1">
      <x v="23"/>
    </i>
    <i r="1">
      <x v="32"/>
    </i>
    <i r="1">
      <x v="33"/>
    </i>
    <i r="1">
      <x v="35"/>
    </i>
    <i r="1">
      <x v="36"/>
    </i>
    <i r="1">
      <x v="40"/>
    </i>
    <i r="1">
      <x v="42"/>
    </i>
    <i r="1">
      <x v="48"/>
    </i>
    <i r="1">
      <x v="49"/>
    </i>
    <i r="1">
      <x v="51"/>
    </i>
    <i r="1">
      <x v="53"/>
    </i>
    <i r="1">
      <x v="54"/>
    </i>
    <i r="1">
      <x v="55"/>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CABFF7-C612-4E97-A53A-D4C1CAA6CD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dataField="1" showAll="0"/>
    <pivotField showAll="0"/>
    <pivotField showAll="0"/>
    <pivotField dataField="1" showAll="0"/>
    <pivotField showAll="0"/>
    <pivotField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2"/>
    <dataField name="Average of Days to Deliver" fld="12"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9C30F6-A750-4936-B57F-EBD8971291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h="1" x="2"/>
        <item h="1" x="1"/>
        <item h="1"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9013485D-BC17-4EF5-A544-A9CF9945B918}" sourceName="Order Mode">
  <pivotTables>
    <pivotTable tabId="5" name="PivotTable1"/>
    <pivotTable tabId="5" name="PivotTable2"/>
    <pivotTable tabId="8" name="PivotTable3"/>
    <pivotTable tabId="8" name="PivotTable8"/>
    <pivotTable tabId="8" name="PivotTable9"/>
    <pivotTable tabId="9" name="PivotTable18"/>
    <pivotTable tabId="9" name="PivotTable19"/>
    <pivotTable tabId="9" name="PivotTable21"/>
  </pivotTables>
  <data>
    <tabular pivotCacheId="631989291">
      <items count="5">
        <i x="0"/>
        <i x="3"/>
        <i x="4"/>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DE978AFD-6D59-4804-B28A-1A7CCBE99E52}" sourceName="Gender Value">
  <pivotTables>
    <pivotTable tabId="5" name="PivotTable1"/>
    <pivotTable tabId="5" name="PivotTable2"/>
    <pivotTable tabId="8" name="PivotTable3"/>
    <pivotTable tabId="8" name="PivotTable8"/>
    <pivotTable tabId="8" name="PivotTable9"/>
    <pivotTable tabId="9" name="PivotTable18"/>
    <pivotTable tabId="9" name="PivotTable21"/>
    <pivotTable tabId="9" name="PivotTable19"/>
  </pivotTables>
  <data>
    <tabular pivotCacheId="631989291">
      <items count="4">
        <i x="2"/>
        <i x="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49FEDA3A-CBDC-485E-9F39-225B54B4C0EB}" cache="Slicer_Order_Mode" caption="Order Mode" rowHeight="247650"/>
  <slicer name="Gender Value" xr10:uid="{D293CE7F-BA0F-41F2-94F4-B8504B256A5C}"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71772C-AC24-4AF4-A7B2-D3A0B1A4CAAB}" name="Table2" displayName="Table2" ref="G3:K6" totalsRowShown="0">
  <autoFilter ref="G3:K6" xr:uid="{6E71772C-AC24-4AF4-A7B2-D3A0B1A4CAAB}"/>
  <tableColumns count="5">
    <tableColumn id="1" xr3:uid="{0D5CAD53-BE3B-4F95-A8BC-BD1CAB2EAD03}" name="Column1"/>
    <tableColumn id="2" xr3:uid="{85155E0A-020E-4A1A-BDC1-A9A794E78CC5}" name="Column2"/>
    <tableColumn id="3" xr3:uid="{B74D93D3-9133-42B6-A70C-E6DB7020CA72}" name="Column3"/>
    <tableColumn id="4" xr3:uid="{13E8C330-4F2A-400A-9E10-ADF2BB18C25B}" name="Column4"/>
    <tableColumn id="5" xr3:uid="{A10E7DE6-1E0B-425F-9ED2-C80E0AE8F390}" name="Column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noFill/>
        <a:ln w="9525" cmpd="sng">
          <a:noFill/>
        </a:ln>
      </a:spPr>
      <a:bodyPr vertOverflow="clip" horzOverflow="clip" wrap="square" rtlCol="0" anchor="t"/>
      <a:lstStyle>
        <a:defPPr marL="0" indent="0" algn="l">
          <a:defRPr sz="1800" b="1" i="0" u="none" strike="noStrike">
            <a:gradFill>
              <a:gsLst>
                <a:gs pos="0">
                  <a:schemeClr val="bg1"/>
                </a:gs>
                <a:gs pos="80000">
                  <a:schemeClr val="bg1">
                    <a:lumMod val="75000"/>
                  </a:schemeClr>
                </a:gs>
              </a:gsLst>
              <a:lin ang="5400000" scaled="1"/>
            </a:gradFill>
            <a:effectLst>
              <a:outerShdw blurRad="50800" dist="38100" dir="5400000" algn="t" rotWithShape="0">
                <a:prstClr val="black">
                  <a:alpha val="40000"/>
                </a:prstClr>
              </a:outerShdw>
            </a:effectLst>
            <a:latin typeface="Aptos Narrow"/>
            <a:ea typeface="+mn-ea"/>
            <a:cs typeface="+mn-cs"/>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7801E-AFC5-4079-9B2E-90A100E27D98}">
  <dimension ref="A2:L49"/>
  <sheetViews>
    <sheetView showGridLines="0" topLeftCell="A7" zoomScaleNormal="100" workbookViewId="0">
      <selection activeCell="E15" sqref="E15"/>
    </sheetView>
  </sheetViews>
  <sheetFormatPr defaultRowHeight="14.4" x14ac:dyDescent="0.3"/>
  <cols>
    <col min="1" max="1" width="14.21875" bestFit="1" customWidth="1"/>
    <col min="2" max="2" width="15.5546875" bestFit="1" customWidth="1"/>
    <col min="3" max="3" width="10.5546875" bestFit="1" customWidth="1"/>
    <col min="4" max="4" width="5.6640625" bestFit="1" customWidth="1"/>
    <col min="5" max="5" width="8.5546875" bestFit="1" customWidth="1"/>
    <col min="6" max="6" width="10.5546875" bestFit="1" customWidth="1"/>
    <col min="7" max="7" width="13.6640625" bestFit="1" customWidth="1"/>
    <col min="8" max="8" width="19.33203125" bestFit="1" customWidth="1"/>
    <col min="9" max="9" width="14.21875" bestFit="1" customWidth="1"/>
    <col min="10" max="10" width="7.77734375" customWidth="1"/>
    <col min="11" max="11" width="7.6640625" customWidth="1"/>
    <col min="12" max="12" width="7.77734375" customWidth="1"/>
    <col min="13" max="13" width="13.6640625" bestFit="1" customWidth="1"/>
    <col min="14" max="14" width="19.33203125" bestFit="1" customWidth="1"/>
    <col min="15" max="15" width="13.5546875" bestFit="1" customWidth="1"/>
  </cols>
  <sheetData>
    <row r="2" spans="1:12" x14ac:dyDescent="0.3">
      <c r="H2" t="s">
        <v>2532</v>
      </c>
    </row>
    <row r="3" spans="1:12" ht="30" customHeight="1" x14ac:dyDescent="0.3">
      <c r="A3" s="5" t="s">
        <v>2522</v>
      </c>
      <c r="B3" s="5" t="s">
        <v>2531</v>
      </c>
    </row>
    <row r="4" spans="1:12" ht="21.6" customHeight="1" thickBot="1" x14ac:dyDescent="0.35">
      <c r="A4" s="5" t="s">
        <v>2518</v>
      </c>
      <c r="B4" t="s">
        <v>2543</v>
      </c>
      <c r="C4" t="s">
        <v>2519</v>
      </c>
      <c r="H4" s="15"/>
      <c r="I4" s="9" t="str">
        <f t="shared" ref="I4:L9" si="0">B4</f>
        <v>Unknown</v>
      </c>
      <c r="J4" s="9" t="str">
        <f t="shared" si="0"/>
        <v>Grand Total</v>
      </c>
      <c r="K4" s="9">
        <f t="shared" si="0"/>
        <v>0</v>
      </c>
      <c r="L4" s="10">
        <f t="shared" si="0"/>
        <v>0</v>
      </c>
    </row>
    <row r="5" spans="1:12" ht="21" customHeight="1" thickTop="1" thickBot="1" x14ac:dyDescent="0.35">
      <c r="A5" s="6" t="s">
        <v>35</v>
      </c>
      <c r="B5" s="8">
        <v>1</v>
      </c>
      <c r="C5" s="8">
        <v>1</v>
      </c>
      <c r="H5" s="16" t="str">
        <f>A5</f>
        <v>Website</v>
      </c>
      <c r="I5" s="11">
        <f t="shared" si="0"/>
        <v>1</v>
      </c>
      <c r="J5" s="11">
        <f t="shared" si="0"/>
        <v>1</v>
      </c>
      <c r="K5" s="11">
        <f t="shared" si="0"/>
        <v>0</v>
      </c>
      <c r="L5" s="12">
        <f t="shared" si="0"/>
        <v>0</v>
      </c>
    </row>
    <row r="6" spans="1:12" ht="21" customHeight="1" thickTop="1" thickBot="1" x14ac:dyDescent="0.35">
      <c r="A6" s="6" t="s">
        <v>2519</v>
      </c>
      <c r="B6" s="8">
        <v>1</v>
      </c>
      <c r="C6" s="8">
        <v>1</v>
      </c>
      <c r="H6" s="16" t="str">
        <f>A6</f>
        <v>Grand Total</v>
      </c>
      <c r="I6" s="11">
        <f t="shared" si="0"/>
        <v>1</v>
      </c>
      <c r="J6" s="11">
        <f t="shared" si="0"/>
        <v>1</v>
      </c>
      <c r="K6" s="11">
        <f t="shared" si="0"/>
        <v>0</v>
      </c>
      <c r="L6" s="12">
        <f t="shared" si="0"/>
        <v>0</v>
      </c>
    </row>
    <row r="7" spans="1:12" ht="21" customHeight="1" thickTop="1" thickBot="1" x14ac:dyDescent="0.35">
      <c r="H7" s="16">
        <f>A7</f>
        <v>0</v>
      </c>
      <c r="I7" s="11">
        <f t="shared" si="0"/>
        <v>0</v>
      </c>
      <c r="J7" s="11">
        <f t="shared" si="0"/>
        <v>0</v>
      </c>
      <c r="K7" s="11">
        <f t="shared" si="0"/>
        <v>0</v>
      </c>
      <c r="L7" s="12">
        <f t="shared" si="0"/>
        <v>0</v>
      </c>
    </row>
    <row r="8" spans="1:12" ht="21" customHeight="1" thickTop="1" thickBot="1" x14ac:dyDescent="0.35">
      <c r="H8" s="16">
        <f>A8</f>
        <v>0</v>
      </c>
      <c r="I8" s="11">
        <f t="shared" si="0"/>
        <v>0</v>
      </c>
      <c r="J8" s="11">
        <f t="shared" si="0"/>
        <v>0</v>
      </c>
      <c r="K8" s="11">
        <f t="shared" si="0"/>
        <v>0</v>
      </c>
      <c r="L8" s="12">
        <f t="shared" si="0"/>
        <v>0</v>
      </c>
    </row>
    <row r="9" spans="1:12" ht="21" customHeight="1" thickTop="1" x14ac:dyDescent="0.3">
      <c r="H9" s="17">
        <f>A9</f>
        <v>0</v>
      </c>
      <c r="I9" s="13">
        <f t="shared" si="0"/>
        <v>0</v>
      </c>
      <c r="J9" s="13">
        <f t="shared" si="0"/>
        <v>0</v>
      </c>
      <c r="K9" s="13">
        <f t="shared" si="0"/>
        <v>0</v>
      </c>
      <c r="L9" s="14">
        <f t="shared" si="0"/>
        <v>0</v>
      </c>
    </row>
    <row r="10" spans="1:12" ht="21" customHeight="1" x14ac:dyDescent="0.3"/>
    <row r="18" spans="1:2" x14ac:dyDescent="0.3">
      <c r="A18" s="5" t="s">
        <v>2518</v>
      </c>
      <c r="B18" t="s">
        <v>2520</v>
      </c>
    </row>
    <row r="19" spans="1:2" x14ac:dyDescent="0.3">
      <c r="A19" s="6">
        <v>1</v>
      </c>
      <c r="B19" s="18">
        <v>6</v>
      </c>
    </row>
    <row r="20" spans="1:2" x14ac:dyDescent="0.3">
      <c r="A20" s="6">
        <v>2</v>
      </c>
      <c r="B20" s="18">
        <v>8</v>
      </c>
    </row>
    <row r="21" spans="1:2" x14ac:dyDescent="0.3">
      <c r="A21" s="6">
        <v>3</v>
      </c>
      <c r="B21" s="18">
        <v>3</v>
      </c>
    </row>
    <row r="22" spans="1:2" x14ac:dyDescent="0.3">
      <c r="A22" s="6">
        <v>4</v>
      </c>
      <c r="B22" s="18">
        <v>3</v>
      </c>
    </row>
    <row r="23" spans="1:2" x14ac:dyDescent="0.3">
      <c r="A23" s="6">
        <v>5</v>
      </c>
      <c r="B23" s="18">
        <v>5</v>
      </c>
    </row>
    <row r="24" spans="1:2" x14ac:dyDescent="0.3">
      <c r="A24" s="6" t="s">
        <v>2533</v>
      </c>
      <c r="B24" s="18">
        <v>4</v>
      </c>
    </row>
    <row r="25" spans="1:2" x14ac:dyDescent="0.3">
      <c r="A25" s="6" t="s">
        <v>2534</v>
      </c>
      <c r="B25" s="18">
        <v>2</v>
      </c>
    </row>
    <row r="26" spans="1:2" x14ac:dyDescent="0.3">
      <c r="A26" s="6" t="s">
        <v>2519</v>
      </c>
      <c r="B26" s="18">
        <v>31</v>
      </c>
    </row>
    <row r="33" spans="1:3" x14ac:dyDescent="0.3">
      <c r="A33" s="5" t="s">
        <v>2521</v>
      </c>
      <c r="B33" s="5" t="s">
        <v>2531</v>
      </c>
    </row>
    <row r="34" spans="1:3" x14ac:dyDescent="0.3">
      <c r="A34" s="5" t="s">
        <v>2518</v>
      </c>
      <c r="B34" t="s">
        <v>2543</v>
      </c>
      <c r="C34" t="s">
        <v>2519</v>
      </c>
    </row>
    <row r="35" spans="1:3" x14ac:dyDescent="0.3">
      <c r="A35" s="6" t="s">
        <v>26</v>
      </c>
      <c r="B35" s="18">
        <v>27</v>
      </c>
      <c r="C35" s="18">
        <v>27</v>
      </c>
    </row>
    <row r="36" spans="1:3" x14ac:dyDescent="0.3">
      <c r="A36" s="6" t="s">
        <v>46</v>
      </c>
      <c r="B36" s="18">
        <v>17</v>
      </c>
      <c r="C36" s="18">
        <v>17</v>
      </c>
    </row>
    <row r="37" spans="1:3" x14ac:dyDescent="0.3">
      <c r="A37" s="6" t="s">
        <v>128</v>
      </c>
      <c r="B37" s="18">
        <v>15</v>
      </c>
      <c r="C37" s="18">
        <v>15</v>
      </c>
    </row>
    <row r="38" spans="1:3" x14ac:dyDescent="0.3">
      <c r="A38" s="6" t="s">
        <v>39</v>
      </c>
      <c r="B38" s="18">
        <v>12</v>
      </c>
      <c r="C38" s="18">
        <v>12</v>
      </c>
    </row>
    <row r="39" spans="1:3" x14ac:dyDescent="0.3">
      <c r="A39" s="6" t="s">
        <v>69</v>
      </c>
      <c r="B39" s="18">
        <v>10</v>
      </c>
      <c r="C39" s="18">
        <v>10</v>
      </c>
    </row>
    <row r="40" spans="1:3" x14ac:dyDescent="0.3">
      <c r="A40" s="6" t="s">
        <v>16</v>
      </c>
      <c r="B40" s="18">
        <v>10</v>
      </c>
      <c r="C40" s="18">
        <v>10</v>
      </c>
    </row>
    <row r="41" spans="1:3" x14ac:dyDescent="0.3">
      <c r="A41" s="6" t="s">
        <v>44</v>
      </c>
      <c r="B41" s="18">
        <v>10</v>
      </c>
      <c r="C41" s="18">
        <v>10</v>
      </c>
    </row>
    <row r="42" spans="1:3" x14ac:dyDescent="0.3">
      <c r="A42" s="6" t="s">
        <v>30</v>
      </c>
      <c r="B42" s="18">
        <v>7</v>
      </c>
      <c r="C42" s="18">
        <v>7</v>
      </c>
    </row>
    <row r="43" spans="1:3" x14ac:dyDescent="0.3">
      <c r="A43" s="6" t="s">
        <v>76</v>
      </c>
      <c r="B43" s="18">
        <v>6</v>
      </c>
      <c r="C43" s="18">
        <v>6</v>
      </c>
    </row>
    <row r="44" spans="1:3" x14ac:dyDescent="0.3">
      <c r="A44" s="6" t="s">
        <v>32</v>
      </c>
      <c r="B44" s="18">
        <v>6</v>
      </c>
      <c r="C44" s="18">
        <v>6</v>
      </c>
    </row>
    <row r="45" spans="1:3" x14ac:dyDescent="0.3">
      <c r="A45" s="6" t="s">
        <v>146</v>
      </c>
      <c r="B45" s="18">
        <v>5</v>
      </c>
      <c r="C45" s="18">
        <v>5</v>
      </c>
    </row>
    <row r="46" spans="1:3" x14ac:dyDescent="0.3">
      <c r="A46" s="6" t="s">
        <v>54</v>
      </c>
      <c r="B46" s="18">
        <v>4</v>
      </c>
      <c r="C46" s="18">
        <v>4</v>
      </c>
    </row>
    <row r="47" spans="1:3" x14ac:dyDescent="0.3">
      <c r="A47" s="6" t="s">
        <v>37</v>
      </c>
      <c r="B47" s="18">
        <v>3</v>
      </c>
      <c r="C47" s="18">
        <v>3</v>
      </c>
    </row>
    <row r="48" spans="1:3" x14ac:dyDescent="0.3">
      <c r="A48" s="6" t="s">
        <v>123</v>
      </c>
      <c r="B48" s="18">
        <v>2</v>
      </c>
      <c r="C48" s="18">
        <v>2</v>
      </c>
    </row>
    <row r="49" spans="1:3" x14ac:dyDescent="0.3">
      <c r="A49" s="6" t="s">
        <v>2519</v>
      </c>
      <c r="B49" s="18">
        <v>134</v>
      </c>
      <c r="C49" s="18">
        <v>134</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pageSetup fitToWidth="0" fitToHeight="0"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4BE17-8C62-46E9-9757-E1A766F82E42}">
  <dimension ref="A3:N207"/>
  <sheetViews>
    <sheetView topLeftCell="A61" workbookViewId="0">
      <selection activeCell="B24" sqref="B21:B24"/>
    </sheetView>
  </sheetViews>
  <sheetFormatPr defaultRowHeight="14.4" x14ac:dyDescent="0.3"/>
  <cols>
    <col min="1" max="1" width="12.44140625" bestFit="1" customWidth="1"/>
    <col min="2" max="2" width="15.5546875" bestFit="1" customWidth="1"/>
    <col min="3" max="4" width="2" bestFit="1" customWidth="1"/>
    <col min="5" max="6" width="3" bestFit="1" customWidth="1"/>
    <col min="7" max="7" width="10.5546875" bestFit="1" customWidth="1"/>
    <col min="8" max="8" width="13.109375" bestFit="1" customWidth="1"/>
    <col min="9" max="9" width="19.33203125" bestFit="1" customWidth="1"/>
    <col min="10" max="10" width="13.109375" bestFit="1" customWidth="1"/>
    <col min="11" max="11" width="9" bestFit="1" customWidth="1"/>
    <col min="12" max="12" width="13.109375" bestFit="1" customWidth="1"/>
    <col min="13" max="13" width="19.33203125" bestFit="1" customWidth="1"/>
    <col min="14" max="14" width="13.5546875" bestFit="1" customWidth="1"/>
    <col min="15" max="30" width="9" bestFit="1" customWidth="1"/>
    <col min="31" max="87" width="9.44140625" bestFit="1" customWidth="1"/>
    <col min="88" max="88" width="10.5546875" bestFit="1" customWidth="1"/>
  </cols>
  <sheetData>
    <row r="3" spans="1:2" x14ac:dyDescent="0.3">
      <c r="A3" s="5" t="s">
        <v>2518</v>
      </c>
      <c r="B3" t="s">
        <v>2520</v>
      </c>
    </row>
    <row r="4" spans="1:2" x14ac:dyDescent="0.3">
      <c r="A4" s="6">
        <v>0</v>
      </c>
      <c r="B4" s="18">
        <v>4</v>
      </c>
    </row>
    <row r="5" spans="1:2" x14ac:dyDescent="0.3">
      <c r="A5" s="6">
        <v>1</v>
      </c>
      <c r="B5" s="18">
        <v>10</v>
      </c>
    </row>
    <row r="6" spans="1:2" x14ac:dyDescent="0.3">
      <c r="A6" s="6">
        <v>2</v>
      </c>
      <c r="B6" s="18">
        <v>8</v>
      </c>
    </row>
    <row r="7" spans="1:2" x14ac:dyDescent="0.3">
      <c r="A7" s="6">
        <v>3</v>
      </c>
      <c r="B7" s="18">
        <v>3</v>
      </c>
    </row>
    <row r="8" spans="1:2" x14ac:dyDescent="0.3">
      <c r="A8" s="6">
        <v>4</v>
      </c>
      <c r="B8" s="18">
        <v>1</v>
      </c>
    </row>
    <row r="9" spans="1:2" x14ac:dyDescent="0.3">
      <c r="A9" s="6">
        <v>5</v>
      </c>
      <c r="B9" s="18">
        <v>1</v>
      </c>
    </row>
    <row r="10" spans="1:2" x14ac:dyDescent="0.3">
      <c r="A10" s="6">
        <v>6</v>
      </c>
      <c r="B10" s="18">
        <v>2</v>
      </c>
    </row>
    <row r="11" spans="1:2" x14ac:dyDescent="0.3">
      <c r="A11" s="6">
        <v>7</v>
      </c>
      <c r="B11" s="18">
        <v>1</v>
      </c>
    </row>
    <row r="12" spans="1:2" x14ac:dyDescent="0.3">
      <c r="A12" s="6">
        <v>10</v>
      </c>
      <c r="B12" s="18">
        <v>1</v>
      </c>
    </row>
    <row r="13" spans="1:2" x14ac:dyDescent="0.3">
      <c r="A13" s="6" t="s">
        <v>2519</v>
      </c>
      <c r="B13" s="18">
        <v>31</v>
      </c>
    </row>
    <row r="24" spans="1:7" x14ac:dyDescent="0.3">
      <c r="A24" s="5" t="s">
        <v>2520</v>
      </c>
      <c r="B24" s="5" t="s">
        <v>2531</v>
      </c>
    </row>
    <row r="25" spans="1:7" x14ac:dyDescent="0.3">
      <c r="A25" s="5" t="s">
        <v>2518</v>
      </c>
      <c r="B25">
        <v>1</v>
      </c>
      <c r="C25">
        <v>2</v>
      </c>
      <c r="D25">
        <v>3</v>
      </c>
      <c r="E25">
        <v>4</v>
      </c>
      <c r="F25">
        <v>5</v>
      </c>
      <c r="G25" t="s">
        <v>2519</v>
      </c>
    </row>
    <row r="26" spans="1:7" x14ac:dyDescent="0.3">
      <c r="A26" s="6" t="s">
        <v>2535</v>
      </c>
      <c r="B26" s="18"/>
      <c r="C26" s="18"/>
      <c r="D26" s="18">
        <v>2</v>
      </c>
      <c r="E26" s="18">
        <v>1</v>
      </c>
      <c r="F26" s="18">
        <v>6</v>
      </c>
      <c r="G26" s="18">
        <v>9</v>
      </c>
    </row>
    <row r="27" spans="1:7" x14ac:dyDescent="0.3">
      <c r="A27" s="6" t="s">
        <v>2536</v>
      </c>
      <c r="B27" s="18">
        <v>1</v>
      </c>
      <c r="C27" s="18">
        <v>1</v>
      </c>
      <c r="D27" s="18">
        <v>4</v>
      </c>
      <c r="E27" s="18">
        <v>4</v>
      </c>
      <c r="F27" s="18">
        <v>2</v>
      </c>
      <c r="G27" s="18">
        <v>12</v>
      </c>
    </row>
    <row r="28" spans="1:7" x14ac:dyDescent="0.3">
      <c r="A28" s="6" t="s">
        <v>2537</v>
      </c>
      <c r="B28" s="18"/>
      <c r="C28" s="18"/>
      <c r="D28" s="18">
        <v>2</v>
      </c>
      <c r="E28" s="18">
        <v>6</v>
      </c>
      <c r="F28" s="18">
        <v>2</v>
      </c>
      <c r="G28" s="18">
        <v>10</v>
      </c>
    </row>
    <row r="29" spans="1:7" x14ac:dyDescent="0.3">
      <c r="A29" s="6" t="s">
        <v>2519</v>
      </c>
      <c r="B29" s="18">
        <v>1</v>
      </c>
      <c r="C29" s="18">
        <v>1</v>
      </c>
      <c r="D29" s="18">
        <v>8</v>
      </c>
      <c r="E29" s="18">
        <v>11</v>
      </c>
      <c r="F29" s="18">
        <v>10</v>
      </c>
      <c r="G29" s="18">
        <v>31</v>
      </c>
    </row>
    <row r="36" spans="1:14" x14ac:dyDescent="0.3">
      <c r="A36" s="5" t="s">
        <v>10</v>
      </c>
      <c r="B36" s="5" t="s">
        <v>11</v>
      </c>
      <c r="C36" t="s">
        <v>2521</v>
      </c>
      <c r="D36" t="s">
        <v>2522</v>
      </c>
      <c r="H36" t="str">
        <f>A36</f>
        <v>State</v>
      </c>
      <c r="I36" t="str">
        <f>B36</f>
        <v>County</v>
      </c>
      <c r="J36" t="str">
        <f>IF(D36="","",D36)</f>
        <v>Sum of Amount</v>
      </c>
      <c r="L36" t="str">
        <f>A36</f>
        <v>State</v>
      </c>
      <c r="M36" t="str">
        <f>B36</f>
        <v>County</v>
      </c>
      <c r="N36" t="str">
        <f>C36</f>
        <v>Sum of Quantity</v>
      </c>
    </row>
    <row r="37" spans="1:14" x14ac:dyDescent="0.3">
      <c r="A37" t="s">
        <v>19</v>
      </c>
      <c r="B37" t="s">
        <v>115</v>
      </c>
      <c r="C37" s="18">
        <v>12</v>
      </c>
      <c r="D37" s="18">
        <v>799.2</v>
      </c>
      <c r="H37" t="str">
        <f>IF(A37="","",A37)</f>
        <v>California</v>
      </c>
      <c r="I37" t="str">
        <f>IF(B37="","",B37)</f>
        <v>Alameda County</v>
      </c>
      <c r="J37">
        <f>IF(D37="","",D37)</f>
        <v>799.2</v>
      </c>
      <c r="L37" t="str">
        <f>IF(A37="","",A37)</f>
        <v>California</v>
      </c>
      <c r="M37" t="str">
        <f>IF(B37="","",B37)</f>
        <v>Alameda County</v>
      </c>
      <c r="N37">
        <f>IF(C37="","",C37)</f>
        <v>12</v>
      </c>
    </row>
    <row r="38" spans="1:14" x14ac:dyDescent="0.3">
      <c r="A38" t="s">
        <v>19</v>
      </c>
      <c r="B38" t="s">
        <v>24</v>
      </c>
      <c r="C38" s="18">
        <v>2</v>
      </c>
      <c r="D38" s="18">
        <v>86.4</v>
      </c>
      <c r="H38" t="str">
        <f t="shared" ref="H38:H101" si="0">IF(A38="","",A38)</f>
        <v>California</v>
      </c>
      <c r="I38" t="str">
        <f t="shared" ref="I38:I101" si="1">IF(B38="","",B38)</f>
        <v>Contra Costa County</v>
      </c>
      <c r="J38">
        <f t="shared" ref="J38:J101" si="2">IF(D38="","",D38)</f>
        <v>86.4</v>
      </c>
      <c r="L38" t="str">
        <f t="shared" ref="L38:L101" si="3">IF(A38="","",A38)</f>
        <v>California</v>
      </c>
      <c r="M38" t="str">
        <f t="shared" ref="M38:M101" si="4">IF(B38="","",B38)</f>
        <v>Contra Costa County</v>
      </c>
      <c r="N38">
        <f t="shared" ref="N38:N101" si="5">IF(C38="","",C38)</f>
        <v>2</v>
      </c>
    </row>
    <row r="39" spans="1:14" x14ac:dyDescent="0.3">
      <c r="A39" t="s">
        <v>19</v>
      </c>
      <c r="B39" t="s">
        <v>28</v>
      </c>
      <c r="C39" s="18">
        <v>1</v>
      </c>
      <c r="D39" s="18">
        <v>37.9</v>
      </c>
      <c r="H39" t="str">
        <f t="shared" si="0"/>
        <v>California</v>
      </c>
      <c r="I39" t="str">
        <f t="shared" si="1"/>
        <v>Fresno County</v>
      </c>
      <c r="J39">
        <f t="shared" si="2"/>
        <v>37.9</v>
      </c>
      <c r="L39" t="str">
        <f t="shared" si="3"/>
        <v>California</v>
      </c>
      <c r="M39" t="str">
        <f t="shared" si="4"/>
        <v>Fresno County</v>
      </c>
      <c r="N39">
        <f t="shared" si="5"/>
        <v>1</v>
      </c>
    </row>
    <row r="40" spans="1:14" x14ac:dyDescent="0.3">
      <c r="A40" t="s">
        <v>19</v>
      </c>
      <c r="B40" t="s">
        <v>33</v>
      </c>
      <c r="C40" s="18">
        <v>45</v>
      </c>
      <c r="D40" s="18">
        <v>3248.9</v>
      </c>
      <c r="H40" t="str">
        <f t="shared" si="0"/>
        <v>California</v>
      </c>
      <c r="I40" t="str">
        <f t="shared" si="1"/>
        <v>Los Angeles County</v>
      </c>
      <c r="J40">
        <f t="shared" si="2"/>
        <v>3248.9</v>
      </c>
      <c r="L40" t="str">
        <f t="shared" si="3"/>
        <v>California</v>
      </c>
      <c r="M40" t="str">
        <f t="shared" si="4"/>
        <v>Los Angeles County</v>
      </c>
      <c r="N40">
        <f t="shared" si="5"/>
        <v>45</v>
      </c>
    </row>
    <row r="41" spans="1:14" x14ac:dyDescent="0.3">
      <c r="A41" t="s">
        <v>19</v>
      </c>
      <c r="B41" t="s">
        <v>186</v>
      </c>
      <c r="C41" s="18">
        <v>4</v>
      </c>
      <c r="D41" s="18">
        <v>88.8</v>
      </c>
      <c r="H41" t="str">
        <f t="shared" si="0"/>
        <v>California</v>
      </c>
      <c r="I41" t="str">
        <f t="shared" si="1"/>
        <v>Merced County</v>
      </c>
      <c r="J41">
        <f t="shared" si="2"/>
        <v>88.8</v>
      </c>
      <c r="L41" t="str">
        <f t="shared" si="3"/>
        <v>California</v>
      </c>
      <c r="M41" t="str">
        <f t="shared" si="4"/>
        <v>Merced County</v>
      </c>
      <c r="N41">
        <f t="shared" si="5"/>
        <v>4</v>
      </c>
    </row>
    <row r="42" spans="1:14" x14ac:dyDescent="0.3">
      <c r="A42" t="s">
        <v>19</v>
      </c>
      <c r="B42" t="s">
        <v>158</v>
      </c>
      <c r="C42" s="18">
        <v>2</v>
      </c>
      <c r="D42" s="18">
        <v>62.2</v>
      </c>
      <c r="H42" t="str">
        <f t="shared" si="0"/>
        <v>California</v>
      </c>
      <c r="I42" t="str">
        <f t="shared" si="1"/>
        <v>Riverside County</v>
      </c>
      <c r="J42">
        <f t="shared" si="2"/>
        <v>62.2</v>
      </c>
      <c r="L42" t="str">
        <f t="shared" si="3"/>
        <v>California</v>
      </c>
      <c r="M42" t="str">
        <f t="shared" si="4"/>
        <v>Riverside County</v>
      </c>
      <c r="N42">
        <f t="shared" si="5"/>
        <v>2</v>
      </c>
    </row>
    <row r="43" spans="1:14" x14ac:dyDescent="0.3">
      <c r="A43" t="s">
        <v>19</v>
      </c>
      <c r="B43" t="s">
        <v>55</v>
      </c>
      <c r="C43" s="18">
        <v>3</v>
      </c>
      <c r="D43" s="18">
        <v>169.2</v>
      </c>
      <c r="H43" t="str">
        <f t="shared" si="0"/>
        <v>California</v>
      </c>
      <c r="I43" t="str">
        <f t="shared" si="1"/>
        <v>Sacramento County</v>
      </c>
      <c r="J43">
        <f t="shared" si="2"/>
        <v>169.2</v>
      </c>
      <c r="L43" t="str">
        <f t="shared" si="3"/>
        <v>California</v>
      </c>
      <c r="M43" t="str">
        <f t="shared" si="4"/>
        <v>Sacramento County</v>
      </c>
      <c r="N43">
        <f t="shared" si="5"/>
        <v>3</v>
      </c>
    </row>
    <row r="44" spans="1:14" x14ac:dyDescent="0.3">
      <c r="A44" t="s">
        <v>19</v>
      </c>
      <c r="B44" t="s">
        <v>59</v>
      </c>
      <c r="C44" s="18">
        <v>2</v>
      </c>
      <c r="D44" s="18">
        <v>167.4</v>
      </c>
      <c r="H44" t="str">
        <f t="shared" si="0"/>
        <v>California</v>
      </c>
      <c r="I44" t="str">
        <f t="shared" si="1"/>
        <v>San Bernardino County</v>
      </c>
      <c r="J44">
        <f t="shared" si="2"/>
        <v>167.4</v>
      </c>
      <c r="L44" t="str">
        <f t="shared" si="3"/>
        <v>California</v>
      </c>
      <c r="M44" t="str">
        <f t="shared" si="4"/>
        <v>San Bernardino County</v>
      </c>
      <c r="N44">
        <f t="shared" si="5"/>
        <v>2</v>
      </c>
    </row>
    <row r="45" spans="1:14" x14ac:dyDescent="0.3">
      <c r="A45" t="s">
        <v>19</v>
      </c>
      <c r="B45" t="s">
        <v>62</v>
      </c>
      <c r="C45" s="18">
        <v>18</v>
      </c>
      <c r="D45" s="18">
        <v>616.79999999999995</v>
      </c>
      <c r="H45" t="str">
        <f t="shared" si="0"/>
        <v>California</v>
      </c>
      <c r="I45" t="str">
        <f t="shared" si="1"/>
        <v>San Diego County</v>
      </c>
      <c r="J45">
        <f t="shared" si="2"/>
        <v>616.79999999999995</v>
      </c>
      <c r="L45" t="str">
        <f t="shared" si="3"/>
        <v>California</v>
      </c>
      <c r="M45" t="str">
        <f t="shared" si="4"/>
        <v>San Diego County</v>
      </c>
      <c r="N45">
        <f t="shared" si="5"/>
        <v>18</v>
      </c>
    </row>
    <row r="46" spans="1:14" x14ac:dyDescent="0.3">
      <c r="A46" t="s">
        <v>19</v>
      </c>
      <c r="B46" t="s">
        <v>72</v>
      </c>
      <c r="C46" s="18">
        <v>1</v>
      </c>
      <c r="D46" s="18">
        <v>28.5</v>
      </c>
      <c r="H46" t="str">
        <f t="shared" si="0"/>
        <v>California</v>
      </c>
      <c r="I46" t="str">
        <f t="shared" si="1"/>
        <v>San Mateo County</v>
      </c>
      <c r="J46">
        <f t="shared" si="2"/>
        <v>28.5</v>
      </c>
      <c r="L46" t="str">
        <f t="shared" si="3"/>
        <v>California</v>
      </c>
      <c r="M46" t="str">
        <f t="shared" si="4"/>
        <v>San Mateo County</v>
      </c>
      <c r="N46">
        <f t="shared" si="5"/>
        <v>1</v>
      </c>
    </row>
    <row r="47" spans="1:14" x14ac:dyDescent="0.3">
      <c r="A47" t="s">
        <v>19</v>
      </c>
      <c r="B47" t="s">
        <v>77</v>
      </c>
      <c r="C47" s="18">
        <v>21</v>
      </c>
      <c r="D47" s="18">
        <v>1358.3999999999999</v>
      </c>
      <c r="H47" t="str">
        <f t="shared" si="0"/>
        <v>California</v>
      </c>
      <c r="I47" t="str">
        <f t="shared" si="1"/>
        <v>Santa Clara County</v>
      </c>
      <c r="J47">
        <f t="shared" si="2"/>
        <v>1358.3999999999999</v>
      </c>
      <c r="L47" t="str">
        <f t="shared" si="3"/>
        <v>California</v>
      </c>
      <c r="M47" t="str">
        <f t="shared" si="4"/>
        <v>Santa Clara County</v>
      </c>
      <c r="N47">
        <f t="shared" si="5"/>
        <v>21</v>
      </c>
    </row>
    <row r="48" spans="1:14" x14ac:dyDescent="0.3">
      <c r="A48" t="s">
        <v>19</v>
      </c>
      <c r="B48" t="s">
        <v>108</v>
      </c>
      <c r="C48" s="18">
        <v>5</v>
      </c>
      <c r="D48" s="18">
        <v>384</v>
      </c>
      <c r="H48" t="str">
        <f t="shared" si="0"/>
        <v>California</v>
      </c>
      <c r="I48" t="str">
        <f t="shared" si="1"/>
        <v>Sonoma County</v>
      </c>
      <c r="J48">
        <f t="shared" si="2"/>
        <v>384</v>
      </c>
      <c r="L48" t="str">
        <f t="shared" si="3"/>
        <v>California</v>
      </c>
      <c r="M48" t="str">
        <f t="shared" si="4"/>
        <v>Sonoma County</v>
      </c>
      <c r="N48">
        <f t="shared" si="5"/>
        <v>5</v>
      </c>
    </row>
    <row r="49" spans="1:14" x14ac:dyDescent="0.3">
      <c r="A49" t="s">
        <v>19</v>
      </c>
      <c r="B49" t="s">
        <v>110</v>
      </c>
      <c r="C49" s="18">
        <v>1</v>
      </c>
      <c r="D49" s="18">
        <v>26.6</v>
      </c>
      <c r="H49" t="str">
        <f t="shared" si="0"/>
        <v>California</v>
      </c>
      <c r="I49" t="str">
        <f t="shared" si="1"/>
        <v>Stanislaus County</v>
      </c>
      <c r="J49">
        <f t="shared" si="2"/>
        <v>26.6</v>
      </c>
      <c r="L49" t="str">
        <f t="shared" si="3"/>
        <v>California</v>
      </c>
      <c r="M49" t="str">
        <f t="shared" si="4"/>
        <v>Stanislaus County</v>
      </c>
      <c r="N49">
        <f t="shared" si="5"/>
        <v>1</v>
      </c>
    </row>
    <row r="50" spans="1:14" x14ac:dyDescent="0.3">
      <c r="A50" t="s">
        <v>19</v>
      </c>
      <c r="B50" t="s">
        <v>79</v>
      </c>
      <c r="C50" s="18">
        <v>5</v>
      </c>
      <c r="D50" s="18">
        <v>254.5</v>
      </c>
      <c r="H50" t="str">
        <f t="shared" si="0"/>
        <v>California</v>
      </c>
      <c r="I50" t="str">
        <f t="shared" si="1"/>
        <v>Tehama County</v>
      </c>
      <c r="J50">
        <f t="shared" si="2"/>
        <v>254.5</v>
      </c>
      <c r="L50" t="str">
        <f t="shared" si="3"/>
        <v>California</v>
      </c>
      <c r="M50" t="str">
        <f t="shared" si="4"/>
        <v>Tehama County</v>
      </c>
      <c r="N50">
        <f t="shared" si="5"/>
        <v>5</v>
      </c>
    </row>
    <row r="51" spans="1:14" x14ac:dyDescent="0.3">
      <c r="A51" t="s">
        <v>19</v>
      </c>
      <c r="B51" t="s">
        <v>113</v>
      </c>
      <c r="C51" s="18">
        <v>1</v>
      </c>
      <c r="D51" s="18">
        <v>49.7</v>
      </c>
      <c r="H51" t="str">
        <f t="shared" si="0"/>
        <v>California</v>
      </c>
      <c r="I51" t="str">
        <f t="shared" si="1"/>
        <v>Tulare County</v>
      </c>
      <c r="J51">
        <f t="shared" si="2"/>
        <v>49.7</v>
      </c>
      <c r="L51" t="str">
        <f t="shared" si="3"/>
        <v>California</v>
      </c>
      <c r="M51" t="str">
        <f t="shared" si="4"/>
        <v>Tulare County</v>
      </c>
      <c r="N51">
        <f t="shared" si="5"/>
        <v>1</v>
      </c>
    </row>
    <row r="52" spans="1:14" x14ac:dyDescent="0.3">
      <c r="A52" t="s">
        <v>19</v>
      </c>
      <c r="B52" t="s">
        <v>997</v>
      </c>
      <c r="C52" s="18">
        <v>9</v>
      </c>
      <c r="D52" s="18">
        <v>630</v>
      </c>
      <c r="H52" t="str">
        <f t="shared" si="0"/>
        <v>California</v>
      </c>
      <c r="I52" t="str">
        <f t="shared" si="1"/>
        <v>Tuolumne County</v>
      </c>
      <c r="J52">
        <f t="shared" si="2"/>
        <v>630</v>
      </c>
      <c r="L52" t="str">
        <f t="shared" si="3"/>
        <v>California</v>
      </c>
      <c r="M52" t="str">
        <f t="shared" si="4"/>
        <v>Tuolumne County</v>
      </c>
      <c r="N52">
        <f t="shared" si="5"/>
        <v>9</v>
      </c>
    </row>
    <row r="53" spans="1:14" x14ac:dyDescent="0.3">
      <c r="A53" t="s">
        <v>19</v>
      </c>
      <c r="B53" t="s">
        <v>82</v>
      </c>
      <c r="C53" s="18">
        <v>2</v>
      </c>
      <c r="D53" s="18">
        <v>44.8</v>
      </c>
      <c r="H53" t="str">
        <f t="shared" si="0"/>
        <v>California</v>
      </c>
      <c r="I53" t="str">
        <f t="shared" si="1"/>
        <v>Ventura County</v>
      </c>
      <c r="J53">
        <f t="shared" si="2"/>
        <v>44.8</v>
      </c>
      <c r="L53" t="str">
        <f t="shared" si="3"/>
        <v>California</v>
      </c>
      <c r="M53" t="str">
        <f t="shared" si="4"/>
        <v>Ventura County</v>
      </c>
      <c r="N53">
        <f t="shared" si="5"/>
        <v>2</v>
      </c>
    </row>
    <row r="54" spans="1:14" x14ac:dyDescent="0.3">
      <c r="H54" t="str">
        <f t="shared" si="0"/>
        <v/>
      </c>
      <c r="I54" t="str">
        <f t="shared" si="1"/>
        <v/>
      </c>
      <c r="J54" t="str">
        <f t="shared" si="2"/>
        <v/>
      </c>
      <c r="L54" t="str">
        <f t="shared" si="3"/>
        <v/>
      </c>
      <c r="M54" t="str">
        <f t="shared" si="4"/>
        <v/>
      </c>
      <c r="N54" t="str">
        <f t="shared" si="5"/>
        <v/>
      </c>
    </row>
    <row r="55" spans="1:14" x14ac:dyDescent="0.3">
      <c r="H55" t="str">
        <f t="shared" si="0"/>
        <v/>
      </c>
      <c r="I55" t="str">
        <f t="shared" si="1"/>
        <v/>
      </c>
      <c r="J55" t="str">
        <f t="shared" si="2"/>
        <v/>
      </c>
      <c r="L55" t="str">
        <f t="shared" si="3"/>
        <v/>
      </c>
      <c r="M55" t="str">
        <f t="shared" si="4"/>
        <v/>
      </c>
      <c r="N55" t="str">
        <f t="shared" si="5"/>
        <v/>
      </c>
    </row>
    <row r="56" spans="1:14" x14ac:dyDescent="0.3">
      <c r="H56" t="str">
        <f t="shared" si="0"/>
        <v/>
      </c>
      <c r="I56" t="str">
        <f t="shared" si="1"/>
        <v/>
      </c>
      <c r="J56" t="str">
        <f t="shared" si="2"/>
        <v/>
      </c>
      <c r="L56" t="str">
        <f t="shared" si="3"/>
        <v/>
      </c>
      <c r="M56" t="str">
        <f t="shared" si="4"/>
        <v/>
      </c>
      <c r="N56" t="str">
        <f t="shared" si="5"/>
        <v/>
      </c>
    </row>
    <row r="57" spans="1:14" x14ac:dyDescent="0.3">
      <c r="H57" t="str">
        <f t="shared" si="0"/>
        <v/>
      </c>
      <c r="I57" t="str">
        <f t="shared" si="1"/>
        <v/>
      </c>
      <c r="J57" t="str">
        <f t="shared" si="2"/>
        <v/>
      </c>
      <c r="L57" t="str">
        <f t="shared" si="3"/>
        <v/>
      </c>
      <c r="M57" t="str">
        <f t="shared" si="4"/>
        <v/>
      </c>
      <c r="N57" t="str">
        <f t="shared" si="5"/>
        <v/>
      </c>
    </row>
    <row r="58" spans="1:14" x14ac:dyDescent="0.3">
      <c r="H58" t="str">
        <f t="shared" si="0"/>
        <v/>
      </c>
      <c r="I58" t="str">
        <f t="shared" si="1"/>
        <v/>
      </c>
      <c r="J58" t="str">
        <f t="shared" si="2"/>
        <v/>
      </c>
      <c r="L58" t="str">
        <f t="shared" si="3"/>
        <v/>
      </c>
      <c r="M58" t="str">
        <f t="shared" si="4"/>
        <v/>
      </c>
      <c r="N58" t="str">
        <f t="shared" si="5"/>
        <v/>
      </c>
    </row>
    <row r="59" spans="1:14" x14ac:dyDescent="0.3">
      <c r="H59" t="str">
        <f t="shared" si="0"/>
        <v/>
      </c>
      <c r="I59" t="str">
        <f t="shared" si="1"/>
        <v/>
      </c>
      <c r="J59" t="str">
        <f t="shared" si="2"/>
        <v/>
      </c>
      <c r="L59" t="str">
        <f t="shared" si="3"/>
        <v/>
      </c>
      <c r="M59" t="str">
        <f t="shared" si="4"/>
        <v/>
      </c>
      <c r="N59" t="str">
        <f t="shared" si="5"/>
        <v/>
      </c>
    </row>
    <row r="60" spans="1:14" x14ac:dyDescent="0.3">
      <c r="H60" t="str">
        <f t="shared" si="0"/>
        <v/>
      </c>
      <c r="I60" t="str">
        <f t="shared" si="1"/>
        <v/>
      </c>
      <c r="J60" t="str">
        <f t="shared" si="2"/>
        <v/>
      </c>
      <c r="L60" t="str">
        <f t="shared" si="3"/>
        <v/>
      </c>
      <c r="M60" t="str">
        <f t="shared" si="4"/>
        <v/>
      </c>
      <c r="N60" t="str">
        <f t="shared" si="5"/>
        <v/>
      </c>
    </row>
    <row r="61" spans="1:14" x14ac:dyDescent="0.3">
      <c r="H61" t="str">
        <f t="shared" si="0"/>
        <v/>
      </c>
      <c r="I61" t="str">
        <f t="shared" si="1"/>
        <v/>
      </c>
      <c r="J61" t="str">
        <f t="shared" si="2"/>
        <v/>
      </c>
      <c r="L61" t="str">
        <f t="shared" si="3"/>
        <v/>
      </c>
      <c r="M61" t="str">
        <f t="shared" si="4"/>
        <v/>
      </c>
      <c r="N61" t="str">
        <f t="shared" si="5"/>
        <v/>
      </c>
    </row>
    <row r="62" spans="1:14" x14ac:dyDescent="0.3">
      <c r="H62" t="str">
        <f t="shared" si="0"/>
        <v/>
      </c>
      <c r="I62" t="str">
        <f t="shared" si="1"/>
        <v/>
      </c>
      <c r="J62" t="str">
        <f t="shared" si="2"/>
        <v/>
      </c>
      <c r="L62" t="str">
        <f t="shared" si="3"/>
        <v/>
      </c>
      <c r="M62" t="str">
        <f t="shared" si="4"/>
        <v/>
      </c>
      <c r="N62" t="str">
        <f t="shared" si="5"/>
        <v/>
      </c>
    </row>
    <row r="63" spans="1:14" x14ac:dyDescent="0.3">
      <c r="H63" t="str">
        <f t="shared" si="0"/>
        <v/>
      </c>
      <c r="I63" t="str">
        <f t="shared" si="1"/>
        <v/>
      </c>
      <c r="J63" t="str">
        <f t="shared" si="2"/>
        <v/>
      </c>
      <c r="L63" t="str">
        <f t="shared" si="3"/>
        <v/>
      </c>
      <c r="M63" t="str">
        <f t="shared" si="4"/>
        <v/>
      </c>
      <c r="N63" t="str">
        <f t="shared" si="5"/>
        <v/>
      </c>
    </row>
    <row r="64" spans="1:14" x14ac:dyDescent="0.3">
      <c r="H64" t="str">
        <f t="shared" si="0"/>
        <v/>
      </c>
      <c r="I64" t="str">
        <f t="shared" si="1"/>
        <v/>
      </c>
      <c r="J64" t="str">
        <f t="shared" si="2"/>
        <v/>
      </c>
      <c r="L64" t="str">
        <f t="shared" si="3"/>
        <v/>
      </c>
      <c r="M64" t="str">
        <f t="shared" si="4"/>
        <v/>
      </c>
      <c r="N64" t="str">
        <f t="shared" si="5"/>
        <v/>
      </c>
    </row>
    <row r="65" spans="8:14" x14ac:dyDescent="0.3">
      <c r="H65" t="str">
        <f t="shared" si="0"/>
        <v/>
      </c>
      <c r="I65" t="str">
        <f t="shared" si="1"/>
        <v/>
      </c>
      <c r="J65" t="str">
        <f t="shared" si="2"/>
        <v/>
      </c>
      <c r="L65" t="str">
        <f t="shared" si="3"/>
        <v/>
      </c>
      <c r="M65" t="str">
        <f t="shared" si="4"/>
        <v/>
      </c>
      <c r="N65" t="str">
        <f t="shared" si="5"/>
        <v/>
      </c>
    </row>
    <row r="66" spans="8:14" x14ac:dyDescent="0.3">
      <c r="H66" t="str">
        <f t="shared" si="0"/>
        <v/>
      </c>
      <c r="I66" t="str">
        <f t="shared" si="1"/>
        <v/>
      </c>
      <c r="J66" t="str">
        <f t="shared" si="2"/>
        <v/>
      </c>
      <c r="L66" t="str">
        <f t="shared" si="3"/>
        <v/>
      </c>
      <c r="M66" t="str">
        <f t="shared" si="4"/>
        <v/>
      </c>
      <c r="N66" t="str">
        <f t="shared" si="5"/>
        <v/>
      </c>
    </row>
    <row r="67" spans="8:14" x14ac:dyDescent="0.3">
      <c r="H67" t="str">
        <f t="shared" si="0"/>
        <v/>
      </c>
      <c r="I67" t="str">
        <f t="shared" si="1"/>
        <v/>
      </c>
      <c r="J67" t="str">
        <f t="shared" si="2"/>
        <v/>
      </c>
      <c r="L67" t="str">
        <f t="shared" si="3"/>
        <v/>
      </c>
      <c r="M67" t="str">
        <f t="shared" si="4"/>
        <v/>
      </c>
      <c r="N67" t="str">
        <f t="shared" si="5"/>
        <v/>
      </c>
    </row>
    <row r="68" spans="8:14" x14ac:dyDescent="0.3">
      <c r="H68" t="str">
        <f t="shared" si="0"/>
        <v/>
      </c>
      <c r="I68" t="str">
        <f t="shared" si="1"/>
        <v/>
      </c>
      <c r="J68" t="str">
        <f t="shared" si="2"/>
        <v/>
      </c>
      <c r="L68" t="str">
        <f t="shared" si="3"/>
        <v/>
      </c>
      <c r="M68" t="str">
        <f t="shared" si="4"/>
        <v/>
      </c>
      <c r="N68" t="str">
        <f t="shared" si="5"/>
        <v/>
      </c>
    </row>
    <row r="69" spans="8:14" x14ac:dyDescent="0.3">
      <c r="H69" t="str">
        <f t="shared" si="0"/>
        <v/>
      </c>
      <c r="I69" t="str">
        <f t="shared" si="1"/>
        <v/>
      </c>
      <c r="J69" t="str">
        <f t="shared" si="2"/>
        <v/>
      </c>
      <c r="L69" t="str">
        <f t="shared" si="3"/>
        <v/>
      </c>
      <c r="M69" t="str">
        <f t="shared" si="4"/>
        <v/>
      </c>
      <c r="N69" t="str">
        <f t="shared" si="5"/>
        <v/>
      </c>
    </row>
    <row r="70" spans="8:14" x14ac:dyDescent="0.3">
      <c r="H70" t="str">
        <f t="shared" si="0"/>
        <v/>
      </c>
      <c r="I70" t="str">
        <f t="shared" si="1"/>
        <v/>
      </c>
      <c r="J70" t="str">
        <f t="shared" si="2"/>
        <v/>
      </c>
      <c r="L70" t="str">
        <f t="shared" si="3"/>
        <v/>
      </c>
      <c r="M70" t="str">
        <f t="shared" si="4"/>
        <v/>
      </c>
      <c r="N70" t="str">
        <f t="shared" si="5"/>
        <v/>
      </c>
    </row>
    <row r="71" spans="8:14" x14ac:dyDescent="0.3">
      <c r="H71" t="str">
        <f t="shared" si="0"/>
        <v/>
      </c>
      <c r="I71" t="str">
        <f t="shared" si="1"/>
        <v/>
      </c>
      <c r="J71" t="str">
        <f t="shared" si="2"/>
        <v/>
      </c>
      <c r="L71" t="str">
        <f t="shared" si="3"/>
        <v/>
      </c>
      <c r="M71" t="str">
        <f t="shared" si="4"/>
        <v/>
      </c>
      <c r="N71" t="str">
        <f t="shared" si="5"/>
        <v/>
      </c>
    </row>
    <row r="72" spans="8:14" x14ac:dyDescent="0.3">
      <c r="H72" t="str">
        <f t="shared" si="0"/>
        <v/>
      </c>
      <c r="I72" t="str">
        <f t="shared" si="1"/>
        <v/>
      </c>
      <c r="J72" t="str">
        <f t="shared" si="2"/>
        <v/>
      </c>
      <c r="L72" t="str">
        <f t="shared" si="3"/>
        <v/>
      </c>
      <c r="M72" t="str">
        <f t="shared" si="4"/>
        <v/>
      </c>
      <c r="N72" t="str">
        <f t="shared" si="5"/>
        <v/>
      </c>
    </row>
    <row r="73" spans="8:14" x14ac:dyDescent="0.3">
      <c r="H73" t="str">
        <f t="shared" si="0"/>
        <v/>
      </c>
      <c r="I73" t="str">
        <f t="shared" si="1"/>
        <v/>
      </c>
      <c r="J73" t="str">
        <f t="shared" si="2"/>
        <v/>
      </c>
      <c r="L73" t="str">
        <f t="shared" si="3"/>
        <v/>
      </c>
      <c r="M73" t="str">
        <f t="shared" si="4"/>
        <v/>
      </c>
      <c r="N73" t="str">
        <f t="shared" si="5"/>
        <v/>
      </c>
    </row>
    <row r="74" spans="8:14" x14ac:dyDescent="0.3">
      <c r="H74" t="str">
        <f t="shared" si="0"/>
        <v/>
      </c>
      <c r="I74" t="str">
        <f t="shared" si="1"/>
        <v/>
      </c>
      <c r="J74" t="str">
        <f t="shared" si="2"/>
        <v/>
      </c>
      <c r="L74" t="str">
        <f t="shared" si="3"/>
        <v/>
      </c>
      <c r="M74" t="str">
        <f t="shared" si="4"/>
        <v/>
      </c>
      <c r="N74" t="str">
        <f t="shared" si="5"/>
        <v/>
      </c>
    </row>
    <row r="75" spans="8:14" x14ac:dyDescent="0.3">
      <c r="H75" t="str">
        <f t="shared" si="0"/>
        <v/>
      </c>
      <c r="I75" t="str">
        <f t="shared" si="1"/>
        <v/>
      </c>
      <c r="J75" t="str">
        <f t="shared" si="2"/>
        <v/>
      </c>
      <c r="L75" t="str">
        <f t="shared" si="3"/>
        <v/>
      </c>
      <c r="M75" t="str">
        <f t="shared" si="4"/>
        <v/>
      </c>
      <c r="N75" t="str">
        <f t="shared" si="5"/>
        <v/>
      </c>
    </row>
    <row r="76" spans="8:14" x14ac:dyDescent="0.3">
      <c r="H76" t="str">
        <f t="shared" si="0"/>
        <v/>
      </c>
      <c r="I76" t="str">
        <f t="shared" si="1"/>
        <v/>
      </c>
      <c r="J76" t="str">
        <f t="shared" si="2"/>
        <v/>
      </c>
      <c r="L76" t="str">
        <f t="shared" si="3"/>
        <v/>
      </c>
      <c r="M76" t="str">
        <f t="shared" si="4"/>
        <v/>
      </c>
      <c r="N76" t="str">
        <f t="shared" si="5"/>
        <v/>
      </c>
    </row>
    <row r="77" spans="8:14" x14ac:dyDescent="0.3">
      <c r="H77" t="str">
        <f t="shared" si="0"/>
        <v/>
      </c>
      <c r="I77" t="str">
        <f t="shared" si="1"/>
        <v/>
      </c>
      <c r="J77" t="str">
        <f t="shared" si="2"/>
        <v/>
      </c>
      <c r="L77" t="str">
        <f t="shared" si="3"/>
        <v/>
      </c>
      <c r="M77" t="str">
        <f t="shared" si="4"/>
        <v/>
      </c>
      <c r="N77" t="str">
        <f t="shared" si="5"/>
        <v/>
      </c>
    </row>
    <row r="78" spans="8:14" x14ac:dyDescent="0.3">
      <c r="H78" t="str">
        <f t="shared" si="0"/>
        <v/>
      </c>
      <c r="I78" t="str">
        <f t="shared" si="1"/>
        <v/>
      </c>
      <c r="J78" t="str">
        <f t="shared" si="2"/>
        <v/>
      </c>
      <c r="L78" t="str">
        <f t="shared" si="3"/>
        <v/>
      </c>
      <c r="M78" t="str">
        <f t="shared" si="4"/>
        <v/>
      </c>
      <c r="N78" t="str">
        <f t="shared" si="5"/>
        <v/>
      </c>
    </row>
    <row r="79" spans="8:14" x14ac:dyDescent="0.3">
      <c r="H79" t="str">
        <f t="shared" si="0"/>
        <v/>
      </c>
      <c r="I79" t="str">
        <f t="shared" si="1"/>
        <v/>
      </c>
      <c r="J79" t="str">
        <f t="shared" si="2"/>
        <v/>
      </c>
      <c r="L79" t="str">
        <f t="shared" si="3"/>
        <v/>
      </c>
      <c r="M79" t="str">
        <f t="shared" si="4"/>
        <v/>
      </c>
      <c r="N79" t="str">
        <f t="shared" si="5"/>
        <v/>
      </c>
    </row>
    <row r="80" spans="8:14" x14ac:dyDescent="0.3">
      <c r="H80" t="str">
        <f t="shared" si="0"/>
        <v/>
      </c>
      <c r="I80" t="str">
        <f t="shared" si="1"/>
        <v/>
      </c>
      <c r="J80" t="str">
        <f t="shared" si="2"/>
        <v/>
      </c>
      <c r="L80" t="str">
        <f t="shared" si="3"/>
        <v/>
      </c>
      <c r="M80" t="str">
        <f t="shared" si="4"/>
        <v/>
      </c>
      <c r="N80" t="str">
        <f t="shared" si="5"/>
        <v/>
      </c>
    </row>
    <row r="81" spans="8:14" x14ac:dyDescent="0.3">
      <c r="H81" t="str">
        <f t="shared" si="0"/>
        <v/>
      </c>
      <c r="I81" t="str">
        <f t="shared" si="1"/>
        <v/>
      </c>
      <c r="J81" t="str">
        <f t="shared" si="2"/>
        <v/>
      </c>
      <c r="L81" t="str">
        <f t="shared" si="3"/>
        <v/>
      </c>
      <c r="M81" t="str">
        <f t="shared" si="4"/>
        <v/>
      </c>
      <c r="N81" t="str">
        <f t="shared" si="5"/>
        <v/>
      </c>
    </row>
    <row r="82" spans="8:14" x14ac:dyDescent="0.3">
      <c r="H82" t="str">
        <f t="shared" si="0"/>
        <v/>
      </c>
      <c r="I82" t="str">
        <f t="shared" si="1"/>
        <v/>
      </c>
      <c r="J82" t="str">
        <f t="shared" si="2"/>
        <v/>
      </c>
      <c r="L82" t="str">
        <f t="shared" si="3"/>
        <v/>
      </c>
      <c r="M82" t="str">
        <f t="shared" si="4"/>
        <v/>
      </c>
      <c r="N82" t="str">
        <f t="shared" si="5"/>
        <v/>
      </c>
    </row>
    <row r="83" spans="8:14" x14ac:dyDescent="0.3">
      <c r="H83" t="str">
        <f t="shared" si="0"/>
        <v/>
      </c>
      <c r="I83" t="str">
        <f t="shared" si="1"/>
        <v/>
      </c>
      <c r="J83" t="str">
        <f t="shared" si="2"/>
        <v/>
      </c>
      <c r="L83" t="str">
        <f t="shared" si="3"/>
        <v/>
      </c>
      <c r="M83" t="str">
        <f t="shared" si="4"/>
        <v/>
      </c>
      <c r="N83" t="str">
        <f t="shared" si="5"/>
        <v/>
      </c>
    </row>
    <row r="84" spans="8:14" x14ac:dyDescent="0.3">
      <c r="H84" t="str">
        <f t="shared" si="0"/>
        <v/>
      </c>
      <c r="I84" t="str">
        <f t="shared" si="1"/>
        <v/>
      </c>
      <c r="J84" t="str">
        <f t="shared" si="2"/>
        <v/>
      </c>
      <c r="L84" t="str">
        <f t="shared" si="3"/>
        <v/>
      </c>
      <c r="M84" t="str">
        <f t="shared" si="4"/>
        <v/>
      </c>
      <c r="N84" t="str">
        <f t="shared" si="5"/>
        <v/>
      </c>
    </row>
    <row r="85" spans="8:14" x14ac:dyDescent="0.3">
      <c r="H85" t="str">
        <f t="shared" si="0"/>
        <v/>
      </c>
      <c r="I85" t="str">
        <f t="shared" si="1"/>
        <v/>
      </c>
      <c r="J85" t="str">
        <f t="shared" si="2"/>
        <v/>
      </c>
      <c r="L85" t="str">
        <f t="shared" si="3"/>
        <v/>
      </c>
      <c r="M85" t="str">
        <f t="shared" si="4"/>
        <v/>
      </c>
      <c r="N85" t="str">
        <f t="shared" si="5"/>
        <v/>
      </c>
    </row>
    <row r="86" spans="8:14" x14ac:dyDescent="0.3">
      <c r="H86" t="str">
        <f t="shared" si="0"/>
        <v/>
      </c>
      <c r="I86" t="str">
        <f t="shared" si="1"/>
        <v/>
      </c>
      <c r="J86" t="str">
        <f t="shared" si="2"/>
        <v/>
      </c>
      <c r="L86" t="str">
        <f t="shared" si="3"/>
        <v/>
      </c>
      <c r="M86" t="str">
        <f t="shared" si="4"/>
        <v/>
      </c>
      <c r="N86" t="str">
        <f t="shared" si="5"/>
        <v/>
      </c>
    </row>
    <row r="87" spans="8:14" x14ac:dyDescent="0.3">
      <c r="H87" t="str">
        <f t="shared" si="0"/>
        <v/>
      </c>
      <c r="I87" t="str">
        <f t="shared" si="1"/>
        <v/>
      </c>
      <c r="J87" t="str">
        <f t="shared" si="2"/>
        <v/>
      </c>
      <c r="L87" t="str">
        <f t="shared" si="3"/>
        <v/>
      </c>
      <c r="M87" t="str">
        <f t="shared" si="4"/>
        <v/>
      </c>
      <c r="N87" t="str">
        <f t="shared" si="5"/>
        <v/>
      </c>
    </row>
    <row r="88" spans="8:14" x14ac:dyDescent="0.3">
      <c r="H88" t="str">
        <f t="shared" si="0"/>
        <v/>
      </c>
      <c r="I88" t="str">
        <f>IF(B88="","",B88)</f>
        <v/>
      </c>
      <c r="J88" t="str">
        <f t="shared" si="2"/>
        <v/>
      </c>
      <c r="L88" t="str">
        <f t="shared" si="3"/>
        <v/>
      </c>
      <c r="M88" t="str">
        <f t="shared" si="4"/>
        <v/>
      </c>
      <c r="N88" t="str">
        <f>IF(C88="","",C88)</f>
        <v/>
      </c>
    </row>
    <row r="89" spans="8:14" x14ac:dyDescent="0.3">
      <c r="H89" t="str">
        <f t="shared" si="0"/>
        <v/>
      </c>
      <c r="I89" t="str">
        <f t="shared" si="1"/>
        <v/>
      </c>
      <c r="J89" t="str">
        <f t="shared" si="2"/>
        <v/>
      </c>
      <c r="L89" t="str">
        <f t="shared" si="3"/>
        <v/>
      </c>
      <c r="M89" t="str">
        <f t="shared" si="4"/>
        <v/>
      </c>
      <c r="N89" t="str">
        <f t="shared" si="5"/>
        <v/>
      </c>
    </row>
    <row r="90" spans="8:14" x14ac:dyDescent="0.3">
      <c r="H90" t="str">
        <f t="shared" si="0"/>
        <v/>
      </c>
      <c r="I90" t="str">
        <f t="shared" si="1"/>
        <v/>
      </c>
      <c r="J90" t="str">
        <f t="shared" si="2"/>
        <v/>
      </c>
      <c r="L90" t="str">
        <f t="shared" si="3"/>
        <v/>
      </c>
      <c r="M90" t="str">
        <f t="shared" si="4"/>
        <v/>
      </c>
      <c r="N90" t="str">
        <f t="shared" si="5"/>
        <v/>
      </c>
    </row>
    <row r="91" spans="8:14" x14ac:dyDescent="0.3">
      <c r="H91" t="str">
        <f t="shared" si="0"/>
        <v/>
      </c>
      <c r="I91" t="str">
        <f t="shared" si="1"/>
        <v/>
      </c>
      <c r="J91" t="str">
        <f t="shared" si="2"/>
        <v/>
      </c>
      <c r="L91" t="str">
        <f t="shared" si="3"/>
        <v/>
      </c>
      <c r="M91" t="str">
        <f t="shared" si="4"/>
        <v/>
      </c>
      <c r="N91" t="str">
        <f t="shared" si="5"/>
        <v/>
      </c>
    </row>
    <row r="92" spans="8:14" x14ac:dyDescent="0.3">
      <c r="H92" t="str">
        <f t="shared" si="0"/>
        <v/>
      </c>
      <c r="I92" t="str">
        <f t="shared" si="1"/>
        <v/>
      </c>
      <c r="J92" t="str">
        <f t="shared" si="2"/>
        <v/>
      </c>
      <c r="L92" t="str">
        <f t="shared" si="3"/>
        <v/>
      </c>
      <c r="M92" t="str">
        <f t="shared" si="4"/>
        <v/>
      </c>
      <c r="N92" t="str">
        <f t="shared" si="5"/>
        <v/>
      </c>
    </row>
    <row r="93" spans="8:14" x14ac:dyDescent="0.3">
      <c r="H93" t="str">
        <f t="shared" si="0"/>
        <v/>
      </c>
      <c r="I93" t="str">
        <f t="shared" si="1"/>
        <v/>
      </c>
      <c r="J93" t="str">
        <f t="shared" si="2"/>
        <v/>
      </c>
      <c r="L93" t="str">
        <f t="shared" si="3"/>
        <v/>
      </c>
      <c r="M93" t="str">
        <f t="shared" si="4"/>
        <v/>
      </c>
      <c r="N93" t="str">
        <f t="shared" si="5"/>
        <v/>
      </c>
    </row>
    <row r="94" spans="8:14" x14ac:dyDescent="0.3">
      <c r="H94" t="str">
        <f t="shared" si="0"/>
        <v/>
      </c>
      <c r="I94" t="str">
        <f t="shared" si="1"/>
        <v/>
      </c>
      <c r="J94" t="str">
        <f t="shared" si="2"/>
        <v/>
      </c>
      <c r="L94" t="str">
        <f t="shared" si="3"/>
        <v/>
      </c>
      <c r="M94" t="str">
        <f t="shared" si="4"/>
        <v/>
      </c>
      <c r="N94" t="str">
        <f t="shared" si="5"/>
        <v/>
      </c>
    </row>
    <row r="95" spans="8:14" x14ac:dyDescent="0.3">
      <c r="H95" t="str">
        <f t="shared" si="0"/>
        <v/>
      </c>
      <c r="I95" t="str">
        <f t="shared" si="1"/>
        <v/>
      </c>
      <c r="J95" t="str">
        <f t="shared" si="2"/>
        <v/>
      </c>
      <c r="L95" t="str">
        <f t="shared" si="3"/>
        <v/>
      </c>
      <c r="M95" t="str">
        <f t="shared" si="4"/>
        <v/>
      </c>
      <c r="N95" t="str">
        <f t="shared" si="5"/>
        <v/>
      </c>
    </row>
    <row r="96" spans="8:14" x14ac:dyDescent="0.3">
      <c r="H96" t="str">
        <f t="shared" si="0"/>
        <v/>
      </c>
      <c r="I96" t="str">
        <f t="shared" si="1"/>
        <v/>
      </c>
      <c r="J96" t="str">
        <f t="shared" si="2"/>
        <v/>
      </c>
      <c r="L96" t="str">
        <f t="shared" si="3"/>
        <v/>
      </c>
      <c r="M96" t="str">
        <f t="shared" si="4"/>
        <v/>
      </c>
      <c r="N96" t="str">
        <f t="shared" si="5"/>
        <v/>
      </c>
    </row>
    <row r="97" spans="8:14" x14ac:dyDescent="0.3">
      <c r="H97" t="str">
        <f t="shared" si="0"/>
        <v/>
      </c>
      <c r="I97" t="str">
        <f t="shared" si="1"/>
        <v/>
      </c>
      <c r="J97" t="str">
        <f t="shared" si="2"/>
        <v/>
      </c>
      <c r="L97" t="str">
        <f t="shared" si="3"/>
        <v/>
      </c>
      <c r="M97" t="str">
        <f t="shared" si="4"/>
        <v/>
      </c>
      <c r="N97" t="str">
        <f t="shared" si="5"/>
        <v/>
      </c>
    </row>
    <row r="98" spans="8:14" x14ac:dyDescent="0.3">
      <c r="H98" t="str">
        <f t="shared" si="0"/>
        <v/>
      </c>
      <c r="I98" t="str">
        <f t="shared" si="1"/>
        <v/>
      </c>
      <c r="J98" t="str">
        <f t="shared" si="2"/>
        <v/>
      </c>
      <c r="L98" t="str">
        <f t="shared" si="3"/>
        <v/>
      </c>
      <c r="M98" t="str">
        <f t="shared" si="4"/>
        <v/>
      </c>
      <c r="N98" t="str">
        <f t="shared" si="5"/>
        <v/>
      </c>
    </row>
    <row r="99" spans="8:14" x14ac:dyDescent="0.3">
      <c r="H99" t="str">
        <f t="shared" si="0"/>
        <v/>
      </c>
      <c r="I99" t="str">
        <f t="shared" si="1"/>
        <v/>
      </c>
      <c r="J99" t="str">
        <f t="shared" si="2"/>
        <v/>
      </c>
      <c r="L99" t="str">
        <f t="shared" si="3"/>
        <v/>
      </c>
      <c r="M99" t="str">
        <f t="shared" si="4"/>
        <v/>
      </c>
      <c r="N99" t="str">
        <f t="shared" si="5"/>
        <v/>
      </c>
    </row>
    <row r="100" spans="8:14" x14ac:dyDescent="0.3">
      <c r="H100" t="str">
        <f t="shared" si="0"/>
        <v/>
      </c>
      <c r="I100" t="str">
        <f t="shared" si="1"/>
        <v/>
      </c>
      <c r="J100" t="str">
        <f t="shared" si="2"/>
        <v/>
      </c>
      <c r="L100" t="str">
        <f t="shared" si="3"/>
        <v/>
      </c>
      <c r="M100" t="str">
        <f t="shared" si="4"/>
        <v/>
      </c>
      <c r="N100" t="str">
        <f t="shared" si="5"/>
        <v/>
      </c>
    </row>
    <row r="101" spans="8:14" x14ac:dyDescent="0.3">
      <c r="H101" t="str">
        <f t="shared" si="0"/>
        <v/>
      </c>
      <c r="I101" t="str">
        <f t="shared" si="1"/>
        <v/>
      </c>
      <c r="J101" t="str">
        <f t="shared" si="2"/>
        <v/>
      </c>
      <c r="L101" t="str">
        <f t="shared" si="3"/>
        <v/>
      </c>
      <c r="M101" t="str">
        <f t="shared" si="4"/>
        <v/>
      </c>
      <c r="N101" t="str">
        <f t="shared" si="5"/>
        <v/>
      </c>
    </row>
    <row r="102" spans="8:14" x14ac:dyDescent="0.3">
      <c r="H102" t="str">
        <f t="shared" ref="H102:H165" si="6">IF(A102="","",A102)</f>
        <v/>
      </c>
      <c r="I102" t="str">
        <f t="shared" ref="I102:I165" si="7">IF(B102="","",B102)</f>
        <v/>
      </c>
      <c r="J102" t="str">
        <f t="shared" ref="J102:J165" si="8">IF(D102="","",D102)</f>
        <v/>
      </c>
      <c r="L102" t="str">
        <f t="shared" ref="L102:L165" si="9">IF(A102="","",A102)</f>
        <v/>
      </c>
      <c r="M102" t="str">
        <f t="shared" ref="M102:M165" si="10">IF(B102="","",B102)</f>
        <v/>
      </c>
      <c r="N102" t="str">
        <f t="shared" ref="N102:N165" si="11">IF(C102="","",C102)</f>
        <v/>
      </c>
    </row>
    <row r="103" spans="8:14" x14ac:dyDescent="0.3">
      <c r="H103" t="str">
        <f t="shared" si="6"/>
        <v/>
      </c>
      <c r="I103" t="str">
        <f t="shared" si="7"/>
        <v/>
      </c>
      <c r="J103" t="str">
        <f t="shared" si="8"/>
        <v/>
      </c>
      <c r="L103" t="str">
        <f t="shared" si="9"/>
        <v/>
      </c>
      <c r="M103" t="str">
        <f t="shared" si="10"/>
        <v/>
      </c>
      <c r="N103" t="str">
        <f t="shared" si="11"/>
        <v/>
      </c>
    </row>
    <row r="104" spans="8:14" x14ac:dyDescent="0.3">
      <c r="H104" t="str">
        <f t="shared" si="6"/>
        <v/>
      </c>
      <c r="I104" t="str">
        <f t="shared" si="7"/>
        <v/>
      </c>
      <c r="J104" t="str">
        <f t="shared" si="8"/>
        <v/>
      </c>
      <c r="L104" t="str">
        <f t="shared" si="9"/>
        <v/>
      </c>
      <c r="M104" t="str">
        <f t="shared" si="10"/>
        <v/>
      </c>
      <c r="N104" t="str">
        <f t="shared" si="11"/>
        <v/>
      </c>
    </row>
    <row r="105" spans="8:14" x14ac:dyDescent="0.3">
      <c r="H105" t="str">
        <f t="shared" si="6"/>
        <v/>
      </c>
      <c r="I105" t="str">
        <f t="shared" si="7"/>
        <v/>
      </c>
      <c r="J105" t="str">
        <f t="shared" si="8"/>
        <v/>
      </c>
      <c r="L105" t="str">
        <f t="shared" si="9"/>
        <v/>
      </c>
      <c r="M105" t="str">
        <f t="shared" si="10"/>
        <v/>
      </c>
      <c r="N105" t="str">
        <f t="shared" si="11"/>
        <v/>
      </c>
    </row>
    <row r="106" spans="8:14" x14ac:dyDescent="0.3">
      <c r="H106" t="str">
        <f t="shared" si="6"/>
        <v/>
      </c>
      <c r="I106" t="str">
        <f t="shared" si="7"/>
        <v/>
      </c>
      <c r="J106" t="str">
        <f t="shared" si="8"/>
        <v/>
      </c>
      <c r="L106" t="str">
        <f t="shared" si="9"/>
        <v/>
      </c>
      <c r="M106" t="str">
        <f t="shared" si="10"/>
        <v/>
      </c>
      <c r="N106" t="str">
        <f t="shared" si="11"/>
        <v/>
      </c>
    </row>
    <row r="107" spans="8:14" x14ac:dyDescent="0.3">
      <c r="H107" t="str">
        <f t="shared" si="6"/>
        <v/>
      </c>
      <c r="I107" t="str">
        <f t="shared" si="7"/>
        <v/>
      </c>
      <c r="J107" t="str">
        <f t="shared" si="8"/>
        <v/>
      </c>
      <c r="L107" t="str">
        <f t="shared" si="9"/>
        <v/>
      </c>
      <c r="M107" t="str">
        <f t="shared" si="10"/>
        <v/>
      </c>
      <c r="N107" t="str">
        <f t="shared" si="11"/>
        <v/>
      </c>
    </row>
    <row r="108" spans="8:14" x14ac:dyDescent="0.3">
      <c r="H108" t="str">
        <f t="shared" si="6"/>
        <v/>
      </c>
      <c r="I108" t="str">
        <f t="shared" si="7"/>
        <v/>
      </c>
      <c r="J108" t="str">
        <f t="shared" si="8"/>
        <v/>
      </c>
      <c r="L108" t="str">
        <f t="shared" si="9"/>
        <v/>
      </c>
      <c r="M108" t="str">
        <f t="shared" si="10"/>
        <v/>
      </c>
      <c r="N108" t="str">
        <f t="shared" si="11"/>
        <v/>
      </c>
    </row>
    <row r="109" spans="8:14" x14ac:dyDescent="0.3">
      <c r="H109" t="str">
        <f t="shared" si="6"/>
        <v/>
      </c>
      <c r="I109" t="str">
        <f t="shared" si="7"/>
        <v/>
      </c>
      <c r="J109" t="str">
        <f t="shared" si="8"/>
        <v/>
      </c>
      <c r="L109" t="str">
        <f t="shared" si="9"/>
        <v/>
      </c>
      <c r="M109" t="str">
        <f t="shared" si="10"/>
        <v/>
      </c>
      <c r="N109" t="str">
        <f t="shared" si="11"/>
        <v/>
      </c>
    </row>
    <row r="110" spans="8:14" x14ac:dyDescent="0.3">
      <c r="H110" t="str">
        <f t="shared" si="6"/>
        <v/>
      </c>
      <c r="I110" t="str">
        <f t="shared" si="7"/>
        <v/>
      </c>
      <c r="J110" t="str">
        <f t="shared" si="8"/>
        <v/>
      </c>
      <c r="L110" t="str">
        <f t="shared" si="9"/>
        <v/>
      </c>
      <c r="M110" t="str">
        <f t="shared" si="10"/>
        <v/>
      </c>
      <c r="N110" t="str">
        <f t="shared" si="11"/>
        <v/>
      </c>
    </row>
    <row r="111" spans="8:14" x14ac:dyDescent="0.3">
      <c r="H111" t="str">
        <f t="shared" si="6"/>
        <v/>
      </c>
      <c r="I111" t="str">
        <f t="shared" si="7"/>
        <v/>
      </c>
      <c r="J111" t="str">
        <f t="shared" si="8"/>
        <v/>
      </c>
      <c r="L111" t="str">
        <f t="shared" si="9"/>
        <v/>
      </c>
      <c r="M111" t="str">
        <f t="shared" si="10"/>
        <v/>
      </c>
      <c r="N111" t="str">
        <f t="shared" si="11"/>
        <v/>
      </c>
    </row>
    <row r="112" spans="8:14" x14ac:dyDescent="0.3">
      <c r="H112" t="str">
        <f t="shared" si="6"/>
        <v/>
      </c>
      <c r="I112" t="str">
        <f t="shared" si="7"/>
        <v/>
      </c>
      <c r="J112" t="str">
        <f t="shared" si="8"/>
        <v/>
      </c>
      <c r="L112" t="str">
        <f t="shared" si="9"/>
        <v/>
      </c>
      <c r="M112" t="str">
        <f t="shared" si="10"/>
        <v/>
      </c>
      <c r="N112" t="str">
        <f t="shared" si="11"/>
        <v/>
      </c>
    </row>
    <row r="113" spans="8:14" x14ac:dyDescent="0.3">
      <c r="H113" t="str">
        <f t="shared" si="6"/>
        <v/>
      </c>
      <c r="I113" t="str">
        <f t="shared" si="7"/>
        <v/>
      </c>
      <c r="J113" t="str">
        <f t="shared" si="8"/>
        <v/>
      </c>
      <c r="L113" t="str">
        <f t="shared" si="9"/>
        <v/>
      </c>
      <c r="M113" t="str">
        <f t="shared" si="10"/>
        <v/>
      </c>
      <c r="N113" t="str">
        <f t="shared" si="11"/>
        <v/>
      </c>
    </row>
    <row r="114" spans="8:14" x14ac:dyDescent="0.3">
      <c r="H114" t="str">
        <f t="shared" si="6"/>
        <v/>
      </c>
      <c r="I114" t="str">
        <f t="shared" si="7"/>
        <v/>
      </c>
      <c r="J114" t="str">
        <f t="shared" si="8"/>
        <v/>
      </c>
      <c r="L114" t="str">
        <f t="shared" si="9"/>
        <v/>
      </c>
      <c r="M114" t="str">
        <f t="shared" si="10"/>
        <v/>
      </c>
      <c r="N114" t="str">
        <f t="shared" si="11"/>
        <v/>
      </c>
    </row>
    <row r="115" spans="8:14" x14ac:dyDescent="0.3">
      <c r="H115" t="str">
        <f t="shared" si="6"/>
        <v/>
      </c>
      <c r="I115" t="str">
        <f t="shared" si="7"/>
        <v/>
      </c>
      <c r="J115" t="str">
        <f t="shared" si="8"/>
        <v/>
      </c>
      <c r="L115" t="str">
        <f t="shared" si="9"/>
        <v/>
      </c>
      <c r="M115" t="str">
        <f t="shared" si="10"/>
        <v/>
      </c>
      <c r="N115" t="str">
        <f t="shared" si="11"/>
        <v/>
      </c>
    </row>
    <row r="116" spans="8:14" x14ac:dyDescent="0.3">
      <c r="H116" t="str">
        <f t="shared" si="6"/>
        <v/>
      </c>
      <c r="I116" t="str">
        <f t="shared" si="7"/>
        <v/>
      </c>
      <c r="J116" t="str">
        <f t="shared" si="8"/>
        <v/>
      </c>
      <c r="L116" t="str">
        <f t="shared" si="9"/>
        <v/>
      </c>
      <c r="M116" t="str">
        <f t="shared" si="10"/>
        <v/>
      </c>
      <c r="N116" t="str">
        <f t="shared" si="11"/>
        <v/>
      </c>
    </row>
    <row r="117" spans="8:14" x14ac:dyDescent="0.3">
      <c r="H117" t="str">
        <f t="shared" si="6"/>
        <v/>
      </c>
      <c r="I117" t="str">
        <f t="shared" si="7"/>
        <v/>
      </c>
      <c r="J117" t="str">
        <f t="shared" si="8"/>
        <v/>
      </c>
      <c r="L117" t="str">
        <f t="shared" si="9"/>
        <v/>
      </c>
      <c r="M117" t="str">
        <f t="shared" si="10"/>
        <v/>
      </c>
      <c r="N117" t="str">
        <f t="shared" si="11"/>
        <v/>
      </c>
    </row>
    <row r="118" spans="8:14" x14ac:dyDescent="0.3">
      <c r="H118" t="str">
        <f t="shared" si="6"/>
        <v/>
      </c>
      <c r="I118" t="str">
        <f t="shared" si="7"/>
        <v/>
      </c>
      <c r="J118" t="str">
        <f t="shared" si="8"/>
        <v/>
      </c>
      <c r="L118" t="str">
        <f t="shared" si="9"/>
        <v/>
      </c>
      <c r="M118" t="str">
        <f t="shared" si="10"/>
        <v/>
      </c>
      <c r="N118" t="str">
        <f t="shared" si="11"/>
        <v/>
      </c>
    </row>
    <row r="119" spans="8:14" x14ac:dyDescent="0.3">
      <c r="H119" t="str">
        <f t="shared" si="6"/>
        <v/>
      </c>
      <c r="I119" t="str">
        <f t="shared" si="7"/>
        <v/>
      </c>
      <c r="J119" t="str">
        <f t="shared" si="8"/>
        <v/>
      </c>
      <c r="L119" t="str">
        <f t="shared" si="9"/>
        <v/>
      </c>
      <c r="M119" t="str">
        <f t="shared" si="10"/>
        <v/>
      </c>
      <c r="N119" t="str">
        <f t="shared" si="11"/>
        <v/>
      </c>
    </row>
    <row r="120" spans="8:14" x14ac:dyDescent="0.3">
      <c r="H120" t="str">
        <f t="shared" si="6"/>
        <v/>
      </c>
      <c r="I120" t="str">
        <f t="shared" si="7"/>
        <v/>
      </c>
      <c r="J120" t="str">
        <f t="shared" si="8"/>
        <v/>
      </c>
      <c r="L120" t="str">
        <f t="shared" si="9"/>
        <v/>
      </c>
      <c r="M120" t="str">
        <f t="shared" si="10"/>
        <v/>
      </c>
      <c r="N120" t="str">
        <f t="shared" si="11"/>
        <v/>
      </c>
    </row>
    <row r="121" spans="8:14" x14ac:dyDescent="0.3">
      <c r="H121" t="str">
        <f t="shared" si="6"/>
        <v/>
      </c>
      <c r="I121" t="str">
        <f t="shared" si="7"/>
        <v/>
      </c>
      <c r="J121" t="str">
        <f t="shared" si="8"/>
        <v/>
      </c>
      <c r="L121" t="str">
        <f t="shared" si="9"/>
        <v/>
      </c>
      <c r="M121" t="str">
        <f t="shared" si="10"/>
        <v/>
      </c>
      <c r="N121" t="str">
        <f t="shared" si="11"/>
        <v/>
      </c>
    </row>
    <row r="122" spans="8:14" x14ac:dyDescent="0.3">
      <c r="H122" t="str">
        <f t="shared" si="6"/>
        <v/>
      </c>
      <c r="I122" t="str">
        <f t="shared" si="7"/>
        <v/>
      </c>
      <c r="J122" t="str">
        <f t="shared" si="8"/>
        <v/>
      </c>
      <c r="L122" t="str">
        <f t="shared" si="9"/>
        <v/>
      </c>
      <c r="M122" t="str">
        <f t="shared" si="10"/>
        <v/>
      </c>
      <c r="N122" t="str">
        <f t="shared" si="11"/>
        <v/>
      </c>
    </row>
    <row r="123" spans="8:14" x14ac:dyDescent="0.3">
      <c r="H123" t="str">
        <f t="shared" si="6"/>
        <v/>
      </c>
      <c r="I123" t="str">
        <f t="shared" si="7"/>
        <v/>
      </c>
      <c r="J123" t="str">
        <f t="shared" si="8"/>
        <v/>
      </c>
      <c r="L123" t="str">
        <f t="shared" si="9"/>
        <v/>
      </c>
      <c r="M123" t="str">
        <f t="shared" si="10"/>
        <v/>
      </c>
      <c r="N123" t="str">
        <f t="shared" si="11"/>
        <v/>
      </c>
    </row>
    <row r="124" spans="8:14" x14ac:dyDescent="0.3">
      <c r="H124" t="str">
        <f t="shared" si="6"/>
        <v/>
      </c>
      <c r="I124" t="str">
        <f t="shared" si="7"/>
        <v/>
      </c>
      <c r="J124" t="str">
        <f t="shared" si="8"/>
        <v/>
      </c>
      <c r="L124" t="str">
        <f t="shared" si="9"/>
        <v/>
      </c>
      <c r="M124" t="str">
        <f t="shared" si="10"/>
        <v/>
      </c>
      <c r="N124" t="str">
        <f t="shared" si="11"/>
        <v/>
      </c>
    </row>
    <row r="125" spans="8:14" x14ac:dyDescent="0.3">
      <c r="H125" t="str">
        <f t="shared" si="6"/>
        <v/>
      </c>
      <c r="I125" t="str">
        <f t="shared" si="7"/>
        <v/>
      </c>
      <c r="J125" t="str">
        <f t="shared" si="8"/>
        <v/>
      </c>
      <c r="L125" t="str">
        <f t="shared" si="9"/>
        <v/>
      </c>
      <c r="M125" t="str">
        <f t="shared" si="10"/>
        <v/>
      </c>
      <c r="N125" t="str">
        <f t="shared" si="11"/>
        <v/>
      </c>
    </row>
    <row r="126" spans="8:14" x14ac:dyDescent="0.3">
      <c r="H126" t="str">
        <f t="shared" si="6"/>
        <v/>
      </c>
      <c r="I126" t="str">
        <f t="shared" si="7"/>
        <v/>
      </c>
      <c r="J126" t="str">
        <f t="shared" si="8"/>
        <v/>
      </c>
      <c r="L126" t="str">
        <f t="shared" si="9"/>
        <v/>
      </c>
      <c r="M126" t="str">
        <f t="shared" si="10"/>
        <v/>
      </c>
      <c r="N126" t="str">
        <f t="shared" si="11"/>
        <v/>
      </c>
    </row>
    <row r="127" spans="8:14" x14ac:dyDescent="0.3">
      <c r="H127" t="str">
        <f t="shared" si="6"/>
        <v/>
      </c>
      <c r="I127" t="str">
        <f t="shared" si="7"/>
        <v/>
      </c>
      <c r="J127" t="str">
        <f t="shared" si="8"/>
        <v/>
      </c>
      <c r="L127" t="str">
        <f t="shared" si="9"/>
        <v/>
      </c>
      <c r="M127" t="str">
        <f t="shared" si="10"/>
        <v/>
      </c>
      <c r="N127" t="str">
        <f t="shared" si="11"/>
        <v/>
      </c>
    </row>
    <row r="128" spans="8:14" x14ac:dyDescent="0.3">
      <c r="H128" t="str">
        <f t="shared" si="6"/>
        <v/>
      </c>
      <c r="I128" t="str">
        <f t="shared" si="7"/>
        <v/>
      </c>
      <c r="J128" t="str">
        <f t="shared" si="8"/>
        <v/>
      </c>
      <c r="L128" t="str">
        <f t="shared" si="9"/>
        <v/>
      </c>
      <c r="M128" t="str">
        <f t="shared" si="10"/>
        <v/>
      </c>
      <c r="N128" t="str">
        <f t="shared" si="11"/>
        <v/>
      </c>
    </row>
    <row r="129" spans="8:14" x14ac:dyDescent="0.3">
      <c r="H129" t="str">
        <f t="shared" si="6"/>
        <v/>
      </c>
      <c r="I129" t="str">
        <f t="shared" si="7"/>
        <v/>
      </c>
      <c r="J129" t="str">
        <f t="shared" si="8"/>
        <v/>
      </c>
      <c r="L129" t="str">
        <f t="shared" si="9"/>
        <v/>
      </c>
      <c r="M129" t="str">
        <f t="shared" si="10"/>
        <v/>
      </c>
      <c r="N129" t="str">
        <f t="shared" si="11"/>
        <v/>
      </c>
    </row>
    <row r="130" spans="8:14" x14ac:dyDescent="0.3">
      <c r="H130" t="str">
        <f t="shared" si="6"/>
        <v/>
      </c>
      <c r="I130" t="str">
        <f t="shared" si="7"/>
        <v/>
      </c>
      <c r="J130" t="str">
        <f t="shared" si="8"/>
        <v/>
      </c>
      <c r="L130" t="str">
        <f t="shared" si="9"/>
        <v/>
      </c>
      <c r="M130" t="str">
        <f t="shared" si="10"/>
        <v/>
      </c>
      <c r="N130" t="str">
        <f t="shared" si="11"/>
        <v/>
      </c>
    </row>
    <row r="131" spans="8:14" x14ac:dyDescent="0.3">
      <c r="H131" t="str">
        <f t="shared" si="6"/>
        <v/>
      </c>
      <c r="I131" t="str">
        <f t="shared" si="7"/>
        <v/>
      </c>
      <c r="J131" t="str">
        <f t="shared" si="8"/>
        <v/>
      </c>
      <c r="L131" t="str">
        <f t="shared" si="9"/>
        <v/>
      </c>
      <c r="M131" t="str">
        <f t="shared" si="10"/>
        <v/>
      </c>
      <c r="N131" t="str">
        <f t="shared" si="11"/>
        <v/>
      </c>
    </row>
    <row r="132" spans="8:14" x14ac:dyDescent="0.3">
      <c r="H132" t="str">
        <f t="shared" si="6"/>
        <v/>
      </c>
      <c r="I132" t="str">
        <f t="shared" si="7"/>
        <v/>
      </c>
      <c r="J132" t="str">
        <f t="shared" si="8"/>
        <v/>
      </c>
      <c r="L132" t="str">
        <f t="shared" si="9"/>
        <v/>
      </c>
      <c r="M132" t="str">
        <f t="shared" si="10"/>
        <v/>
      </c>
      <c r="N132" t="str">
        <f t="shared" si="11"/>
        <v/>
      </c>
    </row>
    <row r="133" spans="8:14" x14ac:dyDescent="0.3">
      <c r="H133" t="str">
        <f t="shared" si="6"/>
        <v/>
      </c>
      <c r="I133" t="str">
        <f t="shared" si="7"/>
        <v/>
      </c>
      <c r="J133" t="str">
        <f t="shared" si="8"/>
        <v/>
      </c>
      <c r="L133" t="str">
        <f t="shared" si="9"/>
        <v/>
      </c>
      <c r="M133" t="str">
        <f t="shared" si="10"/>
        <v/>
      </c>
      <c r="N133" t="str">
        <f t="shared" si="11"/>
        <v/>
      </c>
    </row>
    <row r="134" spans="8:14" x14ac:dyDescent="0.3">
      <c r="H134" t="str">
        <f t="shared" si="6"/>
        <v/>
      </c>
      <c r="I134" t="str">
        <f t="shared" si="7"/>
        <v/>
      </c>
      <c r="J134" t="str">
        <f t="shared" si="8"/>
        <v/>
      </c>
      <c r="L134" t="str">
        <f t="shared" si="9"/>
        <v/>
      </c>
      <c r="M134" t="str">
        <f t="shared" si="10"/>
        <v/>
      </c>
      <c r="N134" t="str">
        <f t="shared" si="11"/>
        <v/>
      </c>
    </row>
    <row r="135" spans="8:14" x14ac:dyDescent="0.3">
      <c r="H135" t="str">
        <f t="shared" si="6"/>
        <v/>
      </c>
      <c r="I135" t="str">
        <f t="shared" si="7"/>
        <v/>
      </c>
      <c r="J135" t="str">
        <f t="shared" si="8"/>
        <v/>
      </c>
      <c r="L135" t="str">
        <f t="shared" si="9"/>
        <v/>
      </c>
      <c r="M135" t="str">
        <f t="shared" si="10"/>
        <v/>
      </c>
      <c r="N135" t="str">
        <f t="shared" si="11"/>
        <v/>
      </c>
    </row>
    <row r="136" spans="8:14" x14ac:dyDescent="0.3">
      <c r="H136" t="str">
        <f t="shared" si="6"/>
        <v/>
      </c>
      <c r="I136" t="str">
        <f t="shared" si="7"/>
        <v/>
      </c>
      <c r="J136" t="str">
        <f t="shared" si="8"/>
        <v/>
      </c>
      <c r="L136" t="str">
        <f t="shared" si="9"/>
        <v/>
      </c>
      <c r="M136" t="str">
        <f t="shared" si="10"/>
        <v/>
      </c>
      <c r="N136" t="str">
        <f t="shared" si="11"/>
        <v/>
      </c>
    </row>
    <row r="137" spans="8:14" x14ac:dyDescent="0.3">
      <c r="H137" t="str">
        <f t="shared" si="6"/>
        <v/>
      </c>
      <c r="I137" t="str">
        <f t="shared" si="7"/>
        <v/>
      </c>
      <c r="J137" t="str">
        <f t="shared" si="8"/>
        <v/>
      </c>
      <c r="L137" t="str">
        <f t="shared" si="9"/>
        <v/>
      </c>
      <c r="M137" t="str">
        <f t="shared" si="10"/>
        <v/>
      </c>
      <c r="N137" t="str">
        <f t="shared" si="11"/>
        <v/>
      </c>
    </row>
    <row r="138" spans="8:14" x14ac:dyDescent="0.3">
      <c r="H138" t="str">
        <f t="shared" si="6"/>
        <v/>
      </c>
      <c r="I138" t="str">
        <f t="shared" si="7"/>
        <v/>
      </c>
      <c r="J138" t="str">
        <f t="shared" si="8"/>
        <v/>
      </c>
      <c r="L138" t="str">
        <f t="shared" si="9"/>
        <v/>
      </c>
      <c r="M138" t="str">
        <f t="shared" si="10"/>
        <v/>
      </c>
      <c r="N138" t="str">
        <f t="shared" si="11"/>
        <v/>
      </c>
    </row>
    <row r="139" spans="8:14" x14ac:dyDescent="0.3">
      <c r="H139" t="str">
        <f t="shared" si="6"/>
        <v/>
      </c>
      <c r="I139" t="str">
        <f t="shared" si="7"/>
        <v/>
      </c>
      <c r="J139" t="str">
        <f t="shared" si="8"/>
        <v/>
      </c>
      <c r="L139" t="str">
        <f t="shared" si="9"/>
        <v/>
      </c>
      <c r="M139" t="str">
        <f t="shared" si="10"/>
        <v/>
      </c>
      <c r="N139" t="str">
        <f t="shared" si="11"/>
        <v/>
      </c>
    </row>
    <row r="140" spans="8:14" x14ac:dyDescent="0.3">
      <c r="H140" t="str">
        <f t="shared" si="6"/>
        <v/>
      </c>
      <c r="I140" t="str">
        <f t="shared" si="7"/>
        <v/>
      </c>
      <c r="J140" t="str">
        <f t="shared" si="8"/>
        <v/>
      </c>
      <c r="L140" t="str">
        <f t="shared" si="9"/>
        <v/>
      </c>
      <c r="M140" t="str">
        <f t="shared" si="10"/>
        <v/>
      </c>
      <c r="N140" t="str">
        <f t="shared" si="11"/>
        <v/>
      </c>
    </row>
    <row r="141" spans="8:14" x14ac:dyDescent="0.3">
      <c r="H141" t="str">
        <f t="shared" si="6"/>
        <v/>
      </c>
      <c r="I141" t="str">
        <f t="shared" si="7"/>
        <v/>
      </c>
      <c r="J141" t="str">
        <f t="shared" si="8"/>
        <v/>
      </c>
      <c r="L141" t="str">
        <f t="shared" si="9"/>
        <v/>
      </c>
      <c r="M141" t="str">
        <f t="shared" si="10"/>
        <v/>
      </c>
      <c r="N141" t="str">
        <f t="shared" si="11"/>
        <v/>
      </c>
    </row>
    <row r="142" spans="8:14" x14ac:dyDescent="0.3">
      <c r="H142" t="str">
        <f t="shared" si="6"/>
        <v/>
      </c>
      <c r="I142" t="str">
        <f t="shared" si="7"/>
        <v/>
      </c>
      <c r="J142" t="str">
        <f t="shared" si="8"/>
        <v/>
      </c>
      <c r="L142" t="str">
        <f t="shared" si="9"/>
        <v/>
      </c>
      <c r="M142" t="str">
        <f t="shared" si="10"/>
        <v/>
      </c>
      <c r="N142" t="str">
        <f t="shared" si="11"/>
        <v/>
      </c>
    </row>
    <row r="143" spans="8:14" x14ac:dyDescent="0.3">
      <c r="H143" t="str">
        <f t="shared" si="6"/>
        <v/>
      </c>
      <c r="I143" t="str">
        <f t="shared" si="7"/>
        <v/>
      </c>
      <c r="J143" t="str">
        <f t="shared" si="8"/>
        <v/>
      </c>
      <c r="L143" t="str">
        <f t="shared" si="9"/>
        <v/>
      </c>
      <c r="M143" t="str">
        <f t="shared" si="10"/>
        <v/>
      </c>
      <c r="N143" t="str">
        <f t="shared" si="11"/>
        <v/>
      </c>
    </row>
    <row r="144" spans="8:14" x14ac:dyDescent="0.3">
      <c r="H144" t="str">
        <f t="shared" si="6"/>
        <v/>
      </c>
      <c r="I144" t="str">
        <f t="shared" si="7"/>
        <v/>
      </c>
      <c r="J144" t="str">
        <f t="shared" si="8"/>
        <v/>
      </c>
      <c r="L144" t="str">
        <f t="shared" si="9"/>
        <v/>
      </c>
      <c r="M144" t="str">
        <f t="shared" si="10"/>
        <v/>
      </c>
      <c r="N144" t="str">
        <f t="shared" si="11"/>
        <v/>
      </c>
    </row>
    <row r="145" spans="8:14" x14ac:dyDescent="0.3">
      <c r="H145" t="str">
        <f t="shared" si="6"/>
        <v/>
      </c>
      <c r="I145" t="str">
        <f t="shared" si="7"/>
        <v/>
      </c>
      <c r="J145" t="str">
        <f t="shared" si="8"/>
        <v/>
      </c>
      <c r="L145" t="str">
        <f t="shared" si="9"/>
        <v/>
      </c>
      <c r="M145" t="str">
        <f t="shared" si="10"/>
        <v/>
      </c>
      <c r="N145" t="str">
        <f t="shared" si="11"/>
        <v/>
      </c>
    </row>
    <row r="146" spans="8:14" x14ac:dyDescent="0.3">
      <c r="H146" t="str">
        <f t="shared" si="6"/>
        <v/>
      </c>
      <c r="I146" t="str">
        <f t="shared" si="7"/>
        <v/>
      </c>
      <c r="J146" t="str">
        <f t="shared" si="8"/>
        <v/>
      </c>
      <c r="L146" t="str">
        <f t="shared" si="9"/>
        <v/>
      </c>
      <c r="M146" t="str">
        <f t="shared" si="10"/>
        <v/>
      </c>
      <c r="N146" t="str">
        <f t="shared" si="11"/>
        <v/>
      </c>
    </row>
    <row r="147" spans="8:14" x14ac:dyDescent="0.3">
      <c r="H147" t="str">
        <f t="shared" si="6"/>
        <v/>
      </c>
      <c r="I147" t="str">
        <f t="shared" si="7"/>
        <v/>
      </c>
      <c r="J147" t="str">
        <f t="shared" si="8"/>
        <v/>
      </c>
      <c r="L147" t="str">
        <f t="shared" si="9"/>
        <v/>
      </c>
      <c r="M147" t="str">
        <f t="shared" si="10"/>
        <v/>
      </c>
      <c r="N147" t="str">
        <f t="shared" si="11"/>
        <v/>
      </c>
    </row>
    <row r="148" spans="8:14" x14ac:dyDescent="0.3">
      <c r="H148" t="str">
        <f t="shared" si="6"/>
        <v/>
      </c>
      <c r="I148" t="str">
        <f t="shared" si="7"/>
        <v/>
      </c>
      <c r="J148" t="str">
        <f t="shared" si="8"/>
        <v/>
      </c>
      <c r="L148" t="str">
        <f t="shared" si="9"/>
        <v/>
      </c>
      <c r="M148" t="str">
        <f t="shared" si="10"/>
        <v/>
      </c>
      <c r="N148" t="str">
        <f t="shared" si="11"/>
        <v/>
      </c>
    </row>
    <row r="149" spans="8:14" x14ac:dyDescent="0.3">
      <c r="H149" t="str">
        <f t="shared" si="6"/>
        <v/>
      </c>
      <c r="I149" t="str">
        <f t="shared" si="7"/>
        <v/>
      </c>
      <c r="J149" t="str">
        <f t="shared" si="8"/>
        <v/>
      </c>
      <c r="L149" t="str">
        <f t="shared" si="9"/>
        <v/>
      </c>
      <c r="M149" t="str">
        <f t="shared" si="10"/>
        <v/>
      </c>
      <c r="N149" t="str">
        <f t="shared" si="11"/>
        <v/>
      </c>
    </row>
    <row r="150" spans="8:14" x14ac:dyDescent="0.3">
      <c r="H150" t="str">
        <f t="shared" si="6"/>
        <v/>
      </c>
      <c r="I150" t="str">
        <f t="shared" si="7"/>
        <v/>
      </c>
      <c r="J150" t="str">
        <f t="shared" si="8"/>
        <v/>
      </c>
      <c r="L150" t="str">
        <f t="shared" si="9"/>
        <v/>
      </c>
      <c r="M150" t="str">
        <f t="shared" si="10"/>
        <v/>
      </c>
      <c r="N150" t="str">
        <f t="shared" si="11"/>
        <v/>
      </c>
    </row>
    <row r="151" spans="8:14" x14ac:dyDescent="0.3">
      <c r="H151" t="str">
        <f t="shared" si="6"/>
        <v/>
      </c>
      <c r="I151" t="str">
        <f t="shared" si="7"/>
        <v/>
      </c>
      <c r="J151" t="str">
        <f t="shared" si="8"/>
        <v/>
      </c>
      <c r="L151" t="str">
        <f t="shared" si="9"/>
        <v/>
      </c>
      <c r="M151" t="str">
        <f t="shared" si="10"/>
        <v/>
      </c>
      <c r="N151" t="str">
        <f t="shared" si="11"/>
        <v/>
      </c>
    </row>
    <row r="152" spans="8:14" x14ac:dyDescent="0.3">
      <c r="H152" t="str">
        <f t="shared" si="6"/>
        <v/>
      </c>
      <c r="I152" t="str">
        <f t="shared" si="7"/>
        <v/>
      </c>
      <c r="J152" t="str">
        <f t="shared" si="8"/>
        <v/>
      </c>
      <c r="L152" t="str">
        <f t="shared" si="9"/>
        <v/>
      </c>
      <c r="M152" t="str">
        <f t="shared" si="10"/>
        <v/>
      </c>
      <c r="N152" t="str">
        <f t="shared" si="11"/>
        <v/>
      </c>
    </row>
    <row r="153" spans="8:14" x14ac:dyDescent="0.3">
      <c r="H153" t="str">
        <f t="shared" si="6"/>
        <v/>
      </c>
      <c r="I153" t="str">
        <f t="shared" si="7"/>
        <v/>
      </c>
      <c r="J153" t="str">
        <f t="shared" si="8"/>
        <v/>
      </c>
      <c r="L153" t="str">
        <f t="shared" si="9"/>
        <v/>
      </c>
      <c r="M153" t="str">
        <f t="shared" si="10"/>
        <v/>
      </c>
      <c r="N153" t="str">
        <f t="shared" si="11"/>
        <v/>
      </c>
    </row>
    <row r="154" spans="8:14" x14ac:dyDescent="0.3">
      <c r="H154" t="str">
        <f t="shared" si="6"/>
        <v/>
      </c>
      <c r="I154" t="str">
        <f t="shared" si="7"/>
        <v/>
      </c>
      <c r="J154" t="str">
        <f t="shared" si="8"/>
        <v/>
      </c>
      <c r="L154" t="str">
        <f t="shared" si="9"/>
        <v/>
      </c>
      <c r="M154" t="str">
        <f t="shared" si="10"/>
        <v/>
      </c>
      <c r="N154" t="str">
        <f t="shared" si="11"/>
        <v/>
      </c>
    </row>
    <row r="155" spans="8:14" x14ac:dyDescent="0.3">
      <c r="H155" t="str">
        <f t="shared" si="6"/>
        <v/>
      </c>
      <c r="I155" t="str">
        <f t="shared" si="7"/>
        <v/>
      </c>
      <c r="J155" t="str">
        <f t="shared" si="8"/>
        <v/>
      </c>
      <c r="L155" t="str">
        <f t="shared" si="9"/>
        <v/>
      </c>
      <c r="M155" t="str">
        <f t="shared" si="10"/>
        <v/>
      </c>
      <c r="N155" t="str">
        <f t="shared" si="11"/>
        <v/>
      </c>
    </row>
    <row r="156" spans="8:14" x14ac:dyDescent="0.3">
      <c r="H156" t="str">
        <f t="shared" si="6"/>
        <v/>
      </c>
      <c r="I156" t="str">
        <f t="shared" si="7"/>
        <v/>
      </c>
      <c r="J156" t="str">
        <f t="shared" si="8"/>
        <v/>
      </c>
      <c r="L156" t="str">
        <f t="shared" si="9"/>
        <v/>
      </c>
      <c r="M156" t="str">
        <f t="shared" si="10"/>
        <v/>
      </c>
      <c r="N156" t="str">
        <f t="shared" si="11"/>
        <v/>
      </c>
    </row>
    <row r="157" spans="8:14" x14ac:dyDescent="0.3">
      <c r="H157" t="str">
        <f t="shared" si="6"/>
        <v/>
      </c>
      <c r="I157" t="str">
        <f t="shared" si="7"/>
        <v/>
      </c>
      <c r="J157" t="str">
        <f t="shared" si="8"/>
        <v/>
      </c>
      <c r="L157" t="str">
        <f t="shared" si="9"/>
        <v/>
      </c>
      <c r="M157" t="str">
        <f t="shared" si="10"/>
        <v/>
      </c>
      <c r="N157" t="str">
        <f t="shared" si="11"/>
        <v/>
      </c>
    </row>
    <row r="158" spans="8:14" x14ac:dyDescent="0.3">
      <c r="H158" t="str">
        <f t="shared" si="6"/>
        <v/>
      </c>
      <c r="I158" t="str">
        <f t="shared" si="7"/>
        <v/>
      </c>
      <c r="J158" t="str">
        <f t="shared" si="8"/>
        <v/>
      </c>
      <c r="L158" t="str">
        <f t="shared" si="9"/>
        <v/>
      </c>
      <c r="M158" t="str">
        <f t="shared" si="10"/>
        <v/>
      </c>
      <c r="N158" t="str">
        <f t="shared" si="11"/>
        <v/>
      </c>
    </row>
    <row r="159" spans="8:14" x14ac:dyDescent="0.3">
      <c r="H159" t="str">
        <f t="shared" si="6"/>
        <v/>
      </c>
      <c r="I159" t="str">
        <f t="shared" si="7"/>
        <v/>
      </c>
      <c r="J159" t="str">
        <f t="shared" si="8"/>
        <v/>
      </c>
      <c r="L159" t="str">
        <f t="shared" si="9"/>
        <v/>
      </c>
      <c r="M159" t="str">
        <f t="shared" si="10"/>
        <v/>
      </c>
      <c r="N159" t="str">
        <f t="shared" si="11"/>
        <v/>
      </c>
    </row>
    <row r="160" spans="8:14" x14ac:dyDescent="0.3">
      <c r="H160" t="str">
        <f t="shared" si="6"/>
        <v/>
      </c>
      <c r="I160" t="str">
        <f t="shared" si="7"/>
        <v/>
      </c>
      <c r="J160" t="str">
        <f t="shared" si="8"/>
        <v/>
      </c>
      <c r="L160" t="str">
        <f t="shared" si="9"/>
        <v/>
      </c>
      <c r="M160" t="str">
        <f t="shared" si="10"/>
        <v/>
      </c>
      <c r="N160" t="str">
        <f t="shared" si="11"/>
        <v/>
      </c>
    </row>
    <row r="161" spans="8:14" x14ac:dyDescent="0.3">
      <c r="H161" t="str">
        <f t="shared" si="6"/>
        <v/>
      </c>
      <c r="I161" t="str">
        <f t="shared" si="7"/>
        <v/>
      </c>
      <c r="J161" t="str">
        <f t="shared" si="8"/>
        <v/>
      </c>
      <c r="L161" t="str">
        <f t="shared" si="9"/>
        <v/>
      </c>
      <c r="M161" t="str">
        <f t="shared" si="10"/>
        <v/>
      </c>
      <c r="N161" t="str">
        <f t="shared" si="11"/>
        <v/>
      </c>
    </row>
    <row r="162" spans="8:14" x14ac:dyDescent="0.3">
      <c r="H162" t="str">
        <f t="shared" si="6"/>
        <v/>
      </c>
      <c r="I162" t="str">
        <f t="shared" si="7"/>
        <v/>
      </c>
      <c r="J162" t="str">
        <f t="shared" si="8"/>
        <v/>
      </c>
      <c r="L162" t="str">
        <f t="shared" si="9"/>
        <v/>
      </c>
      <c r="M162" t="str">
        <f t="shared" si="10"/>
        <v/>
      </c>
      <c r="N162" t="str">
        <f t="shared" si="11"/>
        <v/>
      </c>
    </row>
    <row r="163" spans="8:14" x14ac:dyDescent="0.3">
      <c r="H163" t="str">
        <f t="shared" si="6"/>
        <v/>
      </c>
      <c r="I163" t="str">
        <f t="shared" si="7"/>
        <v/>
      </c>
      <c r="J163" t="str">
        <f t="shared" si="8"/>
        <v/>
      </c>
      <c r="L163" t="str">
        <f t="shared" si="9"/>
        <v/>
      </c>
      <c r="M163" t="str">
        <f t="shared" si="10"/>
        <v/>
      </c>
      <c r="N163" t="str">
        <f t="shared" si="11"/>
        <v/>
      </c>
    </row>
    <row r="164" spans="8:14" x14ac:dyDescent="0.3">
      <c r="H164" t="str">
        <f t="shared" si="6"/>
        <v/>
      </c>
      <c r="I164" t="str">
        <f t="shared" si="7"/>
        <v/>
      </c>
      <c r="J164" t="str">
        <f t="shared" si="8"/>
        <v/>
      </c>
      <c r="L164" t="str">
        <f t="shared" si="9"/>
        <v/>
      </c>
      <c r="M164" t="str">
        <f t="shared" si="10"/>
        <v/>
      </c>
      <c r="N164" t="str">
        <f t="shared" si="11"/>
        <v/>
      </c>
    </row>
    <row r="165" spans="8:14" x14ac:dyDescent="0.3">
      <c r="H165" t="str">
        <f t="shared" si="6"/>
        <v/>
      </c>
      <c r="I165" t="str">
        <f t="shared" si="7"/>
        <v/>
      </c>
      <c r="J165" t="str">
        <f t="shared" si="8"/>
        <v/>
      </c>
      <c r="L165" t="str">
        <f t="shared" si="9"/>
        <v/>
      </c>
      <c r="M165" t="str">
        <f t="shared" si="10"/>
        <v/>
      </c>
      <c r="N165" t="str">
        <f t="shared" si="11"/>
        <v/>
      </c>
    </row>
    <row r="166" spans="8:14" x14ac:dyDescent="0.3">
      <c r="H166" t="str">
        <f t="shared" ref="H166:H207" si="12">IF(A166="","",A166)</f>
        <v/>
      </c>
      <c r="I166" t="str">
        <f t="shared" ref="I166:I201" si="13">IF(B166="","",B166)</f>
        <v/>
      </c>
      <c r="J166" t="str">
        <f t="shared" ref="J166:J201" si="14">IF(D166="","",D166)</f>
        <v/>
      </c>
      <c r="L166" t="str">
        <f t="shared" ref="L166:L189" si="15">IF(A166="","",A166)</f>
        <v/>
      </c>
      <c r="M166" t="str">
        <f t="shared" ref="M166:M192" si="16">IF(B166="","",B166)</f>
        <v/>
      </c>
      <c r="N166" t="str">
        <f t="shared" ref="N166:N190" si="17">IF(C166="","",C166)</f>
        <v/>
      </c>
    </row>
    <row r="167" spans="8:14" x14ac:dyDescent="0.3">
      <c r="H167" t="str">
        <f t="shared" si="12"/>
        <v/>
      </c>
      <c r="I167" t="str">
        <f t="shared" si="13"/>
        <v/>
      </c>
      <c r="J167" t="str">
        <f t="shared" si="14"/>
        <v/>
      </c>
      <c r="L167" t="str">
        <f t="shared" si="15"/>
        <v/>
      </c>
      <c r="M167" t="str">
        <f t="shared" si="16"/>
        <v/>
      </c>
      <c r="N167" t="str">
        <f t="shared" si="17"/>
        <v/>
      </c>
    </row>
    <row r="168" spans="8:14" x14ac:dyDescent="0.3">
      <c r="H168" t="str">
        <f t="shared" si="12"/>
        <v/>
      </c>
      <c r="I168" t="str">
        <f t="shared" si="13"/>
        <v/>
      </c>
      <c r="J168" t="str">
        <f t="shared" si="14"/>
        <v/>
      </c>
      <c r="L168" t="str">
        <f t="shared" si="15"/>
        <v/>
      </c>
      <c r="M168" t="str">
        <f t="shared" si="16"/>
        <v/>
      </c>
      <c r="N168" t="str">
        <f t="shared" si="17"/>
        <v/>
      </c>
    </row>
    <row r="169" spans="8:14" x14ac:dyDescent="0.3">
      <c r="H169" t="str">
        <f t="shared" si="12"/>
        <v/>
      </c>
      <c r="I169" t="str">
        <f t="shared" si="13"/>
        <v/>
      </c>
      <c r="J169" t="str">
        <f t="shared" si="14"/>
        <v/>
      </c>
      <c r="L169" t="str">
        <f t="shared" si="15"/>
        <v/>
      </c>
      <c r="M169" t="str">
        <f t="shared" si="16"/>
        <v/>
      </c>
      <c r="N169" t="str">
        <f t="shared" si="17"/>
        <v/>
      </c>
    </row>
    <row r="170" spans="8:14" x14ac:dyDescent="0.3">
      <c r="H170" t="str">
        <f t="shared" si="12"/>
        <v/>
      </c>
      <c r="I170" t="str">
        <f t="shared" si="13"/>
        <v/>
      </c>
      <c r="J170" t="str">
        <f t="shared" si="14"/>
        <v/>
      </c>
      <c r="L170" t="str">
        <f t="shared" si="15"/>
        <v/>
      </c>
      <c r="M170" t="str">
        <f t="shared" si="16"/>
        <v/>
      </c>
      <c r="N170" t="str">
        <f t="shared" si="17"/>
        <v/>
      </c>
    </row>
    <row r="171" spans="8:14" x14ac:dyDescent="0.3">
      <c r="H171" t="str">
        <f t="shared" si="12"/>
        <v/>
      </c>
      <c r="I171" t="str">
        <f t="shared" si="13"/>
        <v/>
      </c>
      <c r="J171" t="str">
        <f t="shared" si="14"/>
        <v/>
      </c>
      <c r="L171" t="str">
        <f t="shared" si="15"/>
        <v/>
      </c>
      <c r="M171" t="str">
        <f t="shared" si="16"/>
        <v/>
      </c>
      <c r="N171" t="str">
        <f t="shared" si="17"/>
        <v/>
      </c>
    </row>
    <row r="172" spans="8:14" x14ac:dyDescent="0.3">
      <c r="H172" t="str">
        <f t="shared" si="12"/>
        <v/>
      </c>
      <c r="I172" t="str">
        <f t="shared" si="13"/>
        <v/>
      </c>
      <c r="J172" t="str">
        <f t="shared" si="14"/>
        <v/>
      </c>
      <c r="L172" t="str">
        <f t="shared" si="15"/>
        <v/>
      </c>
      <c r="M172" t="str">
        <f t="shared" si="16"/>
        <v/>
      </c>
      <c r="N172" t="str">
        <f t="shared" si="17"/>
        <v/>
      </c>
    </row>
    <row r="173" spans="8:14" x14ac:dyDescent="0.3">
      <c r="H173" t="str">
        <f t="shared" si="12"/>
        <v/>
      </c>
      <c r="I173" t="str">
        <f t="shared" si="13"/>
        <v/>
      </c>
      <c r="J173" t="str">
        <f t="shared" si="14"/>
        <v/>
      </c>
      <c r="L173" t="str">
        <f t="shared" si="15"/>
        <v/>
      </c>
      <c r="M173" t="str">
        <f t="shared" si="16"/>
        <v/>
      </c>
      <c r="N173" t="str">
        <f t="shared" si="17"/>
        <v/>
      </c>
    </row>
    <row r="174" spans="8:14" x14ac:dyDescent="0.3">
      <c r="H174" t="str">
        <f t="shared" si="12"/>
        <v/>
      </c>
      <c r="I174" t="str">
        <f t="shared" si="13"/>
        <v/>
      </c>
      <c r="J174" t="str">
        <f t="shared" si="14"/>
        <v/>
      </c>
      <c r="L174" t="str">
        <f t="shared" si="15"/>
        <v/>
      </c>
      <c r="M174" t="str">
        <f t="shared" si="16"/>
        <v/>
      </c>
      <c r="N174" t="str">
        <f t="shared" si="17"/>
        <v/>
      </c>
    </row>
    <row r="175" spans="8:14" x14ac:dyDescent="0.3">
      <c r="H175" t="str">
        <f t="shared" si="12"/>
        <v/>
      </c>
      <c r="I175" t="str">
        <f t="shared" si="13"/>
        <v/>
      </c>
      <c r="J175" t="str">
        <f t="shared" si="14"/>
        <v/>
      </c>
      <c r="L175" t="str">
        <f t="shared" si="15"/>
        <v/>
      </c>
      <c r="M175" t="str">
        <f t="shared" si="16"/>
        <v/>
      </c>
      <c r="N175" t="str">
        <f t="shared" si="17"/>
        <v/>
      </c>
    </row>
    <row r="176" spans="8:14" x14ac:dyDescent="0.3">
      <c r="H176" t="str">
        <f t="shared" si="12"/>
        <v/>
      </c>
      <c r="I176" t="str">
        <f t="shared" si="13"/>
        <v/>
      </c>
      <c r="J176" t="str">
        <f t="shared" si="14"/>
        <v/>
      </c>
      <c r="L176" t="str">
        <f t="shared" si="15"/>
        <v/>
      </c>
      <c r="M176" t="str">
        <f t="shared" si="16"/>
        <v/>
      </c>
      <c r="N176" t="str">
        <f t="shared" si="17"/>
        <v/>
      </c>
    </row>
    <row r="177" spans="8:14" x14ac:dyDescent="0.3">
      <c r="H177" t="str">
        <f t="shared" si="12"/>
        <v/>
      </c>
      <c r="I177" t="str">
        <f t="shared" si="13"/>
        <v/>
      </c>
      <c r="J177" t="str">
        <f t="shared" si="14"/>
        <v/>
      </c>
      <c r="L177" t="str">
        <f t="shared" si="15"/>
        <v/>
      </c>
      <c r="M177" t="str">
        <f t="shared" si="16"/>
        <v/>
      </c>
      <c r="N177" t="str">
        <f t="shared" si="17"/>
        <v/>
      </c>
    </row>
    <row r="178" spans="8:14" x14ac:dyDescent="0.3">
      <c r="H178" t="str">
        <f t="shared" si="12"/>
        <v/>
      </c>
      <c r="I178" t="str">
        <f t="shared" si="13"/>
        <v/>
      </c>
      <c r="J178" t="str">
        <f t="shared" si="14"/>
        <v/>
      </c>
      <c r="L178" t="str">
        <f t="shared" si="15"/>
        <v/>
      </c>
      <c r="M178" t="str">
        <f t="shared" si="16"/>
        <v/>
      </c>
      <c r="N178" t="str">
        <f t="shared" si="17"/>
        <v/>
      </c>
    </row>
    <row r="179" spans="8:14" x14ac:dyDescent="0.3">
      <c r="H179" t="str">
        <f t="shared" si="12"/>
        <v/>
      </c>
      <c r="I179" t="str">
        <f t="shared" si="13"/>
        <v/>
      </c>
      <c r="J179" t="str">
        <f t="shared" si="14"/>
        <v/>
      </c>
      <c r="L179" t="str">
        <f t="shared" si="15"/>
        <v/>
      </c>
      <c r="M179" t="str">
        <f t="shared" si="16"/>
        <v/>
      </c>
      <c r="N179" t="str">
        <f t="shared" si="17"/>
        <v/>
      </c>
    </row>
    <row r="180" spans="8:14" x14ac:dyDescent="0.3">
      <c r="H180" t="str">
        <f t="shared" si="12"/>
        <v/>
      </c>
      <c r="I180" t="str">
        <f t="shared" si="13"/>
        <v/>
      </c>
      <c r="J180" t="str">
        <f t="shared" si="14"/>
        <v/>
      </c>
      <c r="L180" t="str">
        <f t="shared" si="15"/>
        <v/>
      </c>
      <c r="M180" t="str">
        <f t="shared" si="16"/>
        <v/>
      </c>
      <c r="N180" t="str">
        <f t="shared" si="17"/>
        <v/>
      </c>
    </row>
    <row r="181" spans="8:14" x14ac:dyDescent="0.3">
      <c r="H181" t="str">
        <f t="shared" si="12"/>
        <v/>
      </c>
      <c r="I181" t="str">
        <f t="shared" si="13"/>
        <v/>
      </c>
      <c r="J181" t="str">
        <f t="shared" si="14"/>
        <v/>
      </c>
      <c r="L181" t="str">
        <f t="shared" si="15"/>
        <v/>
      </c>
      <c r="M181" t="str">
        <f t="shared" si="16"/>
        <v/>
      </c>
      <c r="N181" t="str">
        <f t="shared" si="17"/>
        <v/>
      </c>
    </row>
    <row r="182" spans="8:14" x14ac:dyDescent="0.3">
      <c r="H182" t="str">
        <f t="shared" si="12"/>
        <v/>
      </c>
      <c r="I182" t="str">
        <f t="shared" si="13"/>
        <v/>
      </c>
      <c r="J182" t="str">
        <f t="shared" si="14"/>
        <v/>
      </c>
      <c r="L182" t="str">
        <f t="shared" si="15"/>
        <v/>
      </c>
      <c r="M182" t="str">
        <f t="shared" si="16"/>
        <v/>
      </c>
      <c r="N182" t="str">
        <f t="shared" si="17"/>
        <v/>
      </c>
    </row>
    <row r="183" spans="8:14" x14ac:dyDescent="0.3">
      <c r="H183" t="str">
        <f t="shared" si="12"/>
        <v/>
      </c>
      <c r="I183" t="str">
        <f t="shared" si="13"/>
        <v/>
      </c>
      <c r="J183" t="str">
        <f t="shared" si="14"/>
        <v/>
      </c>
      <c r="L183" t="str">
        <f t="shared" si="15"/>
        <v/>
      </c>
      <c r="M183" t="str">
        <f t="shared" si="16"/>
        <v/>
      </c>
      <c r="N183" t="str">
        <f t="shared" si="17"/>
        <v/>
      </c>
    </row>
    <row r="184" spans="8:14" x14ac:dyDescent="0.3">
      <c r="H184" t="str">
        <f t="shared" si="12"/>
        <v/>
      </c>
      <c r="I184" t="str">
        <f t="shared" si="13"/>
        <v/>
      </c>
      <c r="J184" t="str">
        <f t="shared" si="14"/>
        <v/>
      </c>
      <c r="L184" t="str">
        <f t="shared" si="15"/>
        <v/>
      </c>
      <c r="M184" t="str">
        <f t="shared" si="16"/>
        <v/>
      </c>
      <c r="N184" t="str">
        <f t="shared" si="17"/>
        <v/>
      </c>
    </row>
    <row r="185" spans="8:14" x14ac:dyDescent="0.3">
      <c r="H185" t="str">
        <f t="shared" si="12"/>
        <v/>
      </c>
      <c r="I185" t="str">
        <f t="shared" si="13"/>
        <v/>
      </c>
      <c r="J185" t="str">
        <f t="shared" si="14"/>
        <v/>
      </c>
      <c r="L185" t="str">
        <f t="shared" si="15"/>
        <v/>
      </c>
      <c r="M185" t="str">
        <f t="shared" si="16"/>
        <v/>
      </c>
      <c r="N185" t="str">
        <f t="shared" si="17"/>
        <v/>
      </c>
    </row>
    <row r="186" spans="8:14" x14ac:dyDescent="0.3">
      <c r="H186" t="str">
        <f t="shared" si="12"/>
        <v/>
      </c>
      <c r="I186" t="str">
        <f t="shared" si="13"/>
        <v/>
      </c>
      <c r="J186" t="str">
        <f t="shared" si="14"/>
        <v/>
      </c>
      <c r="L186" t="str">
        <f t="shared" si="15"/>
        <v/>
      </c>
      <c r="M186" t="str">
        <f t="shared" si="16"/>
        <v/>
      </c>
      <c r="N186" t="str">
        <f t="shared" si="17"/>
        <v/>
      </c>
    </row>
    <row r="187" spans="8:14" x14ac:dyDescent="0.3">
      <c r="H187" t="str">
        <f t="shared" si="12"/>
        <v/>
      </c>
      <c r="I187" t="str">
        <f t="shared" si="13"/>
        <v/>
      </c>
      <c r="J187" t="str">
        <f t="shared" si="14"/>
        <v/>
      </c>
      <c r="L187" t="str">
        <f t="shared" si="15"/>
        <v/>
      </c>
      <c r="M187" t="str">
        <f t="shared" si="16"/>
        <v/>
      </c>
      <c r="N187" t="str">
        <f t="shared" si="17"/>
        <v/>
      </c>
    </row>
    <row r="188" spans="8:14" x14ac:dyDescent="0.3">
      <c r="H188" t="str">
        <f t="shared" si="12"/>
        <v/>
      </c>
      <c r="I188" t="str">
        <f t="shared" si="13"/>
        <v/>
      </c>
      <c r="J188" t="str">
        <f t="shared" si="14"/>
        <v/>
      </c>
      <c r="L188" t="str">
        <f t="shared" si="15"/>
        <v/>
      </c>
      <c r="M188" t="str">
        <f t="shared" si="16"/>
        <v/>
      </c>
      <c r="N188" t="str">
        <f t="shared" si="17"/>
        <v/>
      </c>
    </row>
    <row r="189" spans="8:14" x14ac:dyDescent="0.3">
      <c r="H189" t="str">
        <f t="shared" si="12"/>
        <v/>
      </c>
      <c r="I189" t="str">
        <f t="shared" si="13"/>
        <v/>
      </c>
      <c r="J189" t="str">
        <f t="shared" si="14"/>
        <v/>
      </c>
      <c r="L189" t="str">
        <f t="shared" si="15"/>
        <v/>
      </c>
      <c r="M189" t="str">
        <f t="shared" si="16"/>
        <v/>
      </c>
      <c r="N189" t="str">
        <f t="shared" si="17"/>
        <v/>
      </c>
    </row>
    <row r="190" spans="8:14" x14ac:dyDescent="0.3">
      <c r="H190" t="str">
        <f t="shared" si="12"/>
        <v/>
      </c>
      <c r="I190" t="str">
        <f t="shared" si="13"/>
        <v/>
      </c>
      <c r="J190" t="str">
        <f t="shared" si="14"/>
        <v/>
      </c>
      <c r="L190" t="str">
        <f t="shared" ref="L190:L201" si="18">IF(A190="","",A190)</f>
        <v/>
      </c>
      <c r="M190" t="str">
        <f t="shared" si="16"/>
        <v/>
      </c>
      <c r="N190" t="str">
        <f t="shared" si="17"/>
        <v/>
      </c>
    </row>
    <row r="191" spans="8:14" x14ac:dyDescent="0.3">
      <c r="H191" t="str">
        <f t="shared" si="12"/>
        <v/>
      </c>
      <c r="I191" t="str">
        <f t="shared" si="13"/>
        <v/>
      </c>
      <c r="J191" t="str">
        <f t="shared" si="14"/>
        <v/>
      </c>
      <c r="L191" t="str">
        <f t="shared" si="18"/>
        <v/>
      </c>
      <c r="M191" t="str">
        <f t="shared" si="16"/>
        <v/>
      </c>
      <c r="N191" t="str">
        <f t="shared" ref="N191:N201" si="19">IF(C191="","",C191)</f>
        <v/>
      </c>
    </row>
    <row r="192" spans="8:14" x14ac:dyDescent="0.3">
      <c r="H192" t="str">
        <f t="shared" si="12"/>
        <v/>
      </c>
      <c r="I192" t="str">
        <f t="shared" si="13"/>
        <v/>
      </c>
      <c r="J192" t="str">
        <f t="shared" si="14"/>
        <v/>
      </c>
      <c r="L192" t="str">
        <f t="shared" si="18"/>
        <v/>
      </c>
      <c r="M192" t="str">
        <f t="shared" si="16"/>
        <v/>
      </c>
      <c r="N192" t="str">
        <f t="shared" si="19"/>
        <v/>
      </c>
    </row>
    <row r="193" spans="8:14" x14ac:dyDescent="0.3">
      <c r="H193" t="str">
        <f t="shared" si="12"/>
        <v/>
      </c>
      <c r="I193" t="str">
        <f t="shared" si="13"/>
        <v/>
      </c>
      <c r="J193" t="str">
        <f t="shared" si="14"/>
        <v/>
      </c>
      <c r="L193" t="str">
        <f t="shared" si="18"/>
        <v/>
      </c>
      <c r="M193" t="str">
        <f t="shared" ref="M193:M201" si="20">IF(B193="","",B193)</f>
        <v/>
      </c>
      <c r="N193" t="str">
        <f t="shared" si="19"/>
        <v/>
      </c>
    </row>
    <row r="194" spans="8:14" x14ac:dyDescent="0.3">
      <c r="H194" t="str">
        <f t="shared" si="12"/>
        <v/>
      </c>
      <c r="I194" t="str">
        <f t="shared" si="13"/>
        <v/>
      </c>
      <c r="J194" t="str">
        <f t="shared" si="14"/>
        <v/>
      </c>
      <c r="L194" t="str">
        <f t="shared" si="18"/>
        <v/>
      </c>
      <c r="M194" t="str">
        <f t="shared" si="20"/>
        <v/>
      </c>
      <c r="N194" t="str">
        <f t="shared" si="19"/>
        <v/>
      </c>
    </row>
    <row r="195" spans="8:14" x14ac:dyDescent="0.3">
      <c r="H195" t="str">
        <f t="shared" si="12"/>
        <v/>
      </c>
      <c r="I195" t="str">
        <f t="shared" si="13"/>
        <v/>
      </c>
      <c r="J195" t="str">
        <f t="shared" si="14"/>
        <v/>
      </c>
      <c r="L195" t="str">
        <f t="shared" si="18"/>
        <v/>
      </c>
      <c r="M195" t="str">
        <f t="shared" si="20"/>
        <v/>
      </c>
      <c r="N195" t="str">
        <f t="shared" si="19"/>
        <v/>
      </c>
    </row>
    <row r="196" spans="8:14" x14ac:dyDescent="0.3">
      <c r="H196" t="str">
        <f t="shared" si="12"/>
        <v/>
      </c>
      <c r="I196" t="str">
        <f t="shared" si="13"/>
        <v/>
      </c>
      <c r="J196" t="str">
        <f t="shared" si="14"/>
        <v/>
      </c>
      <c r="L196" t="str">
        <f t="shared" si="18"/>
        <v/>
      </c>
      <c r="M196" t="str">
        <f t="shared" si="20"/>
        <v/>
      </c>
      <c r="N196" t="str">
        <f t="shared" si="19"/>
        <v/>
      </c>
    </row>
    <row r="197" spans="8:14" x14ac:dyDescent="0.3">
      <c r="H197" t="str">
        <f t="shared" si="12"/>
        <v/>
      </c>
      <c r="I197" t="str">
        <f t="shared" si="13"/>
        <v/>
      </c>
      <c r="J197" t="str">
        <f t="shared" si="14"/>
        <v/>
      </c>
      <c r="L197" t="str">
        <f t="shared" si="18"/>
        <v/>
      </c>
      <c r="M197" t="str">
        <f t="shared" si="20"/>
        <v/>
      </c>
      <c r="N197" t="str">
        <f t="shared" si="19"/>
        <v/>
      </c>
    </row>
    <row r="198" spans="8:14" x14ac:dyDescent="0.3">
      <c r="H198" t="str">
        <f t="shared" si="12"/>
        <v/>
      </c>
      <c r="I198" t="str">
        <f t="shared" si="13"/>
        <v/>
      </c>
      <c r="J198" t="str">
        <f t="shared" si="14"/>
        <v/>
      </c>
      <c r="L198" t="str">
        <f t="shared" si="18"/>
        <v/>
      </c>
      <c r="M198" t="str">
        <f t="shared" si="20"/>
        <v/>
      </c>
      <c r="N198" t="str">
        <f t="shared" si="19"/>
        <v/>
      </c>
    </row>
    <row r="199" spans="8:14" x14ac:dyDescent="0.3">
      <c r="H199" t="str">
        <f t="shared" si="12"/>
        <v/>
      </c>
      <c r="I199" t="str">
        <f t="shared" si="13"/>
        <v/>
      </c>
      <c r="J199" t="str">
        <f t="shared" si="14"/>
        <v/>
      </c>
      <c r="L199" t="str">
        <f t="shared" si="18"/>
        <v/>
      </c>
      <c r="M199" t="str">
        <f t="shared" si="20"/>
        <v/>
      </c>
      <c r="N199" t="str">
        <f t="shared" si="19"/>
        <v/>
      </c>
    </row>
    <row r="200" spans="8:14" x14ac:dyDescent="0.3">
      <c r="H200" t="str">
        <f t="shared" si="12"/>
        <v/>
      </c>
      <c r="I200" t="str">
        <f t="shared" si="13"/>
        <v/>
      </c>
      <c r="J200" t="str">
        <f t="shared" si="14"/>
        <v/>
      </c>
      <c r="L200" t="str">
        <f t="shared" si="18"/>
        <v/>
      </c>
      <c r="M200" t="str">
        <f t="shared" si="20"/>
        <v/>
      </c>
      <c r="N200" t="str">
        <f t="shared" si="19"/>
        <v/>
      </c>
    </row>
    <row r="201" spans="8:14" x14ac:dyDescent="0.3">
      <c r="H201" t="str">
        <f t="shared" si="12"/>
        <v/>
      </c>
      <c r="I201" t="str">
        <f t="shared" si="13"/>
        <v/>
      </c>
      <c r="J201" t="str">
        <f t="shared" si="14"/>
        <v/>
      </c>
      <c r="L201" t="str">
        <f t="shared" si="18"/>
        <v/>
      </c>
      <c r="M201" t="str">
        <f t="shared" si="20"/>
        <v/>
      </c>
      <c r="N201" t="str">
        <f t="shared" si="19"/>
        <v/>
      </c>
    </row>
    <row r="202" spans="8:14" x14ac:dyDescent="0.3">
      <c r="H202" t="str">
        <f t="shared" si="12"/>
        <v/>
      </c>
    </row>
    <row r="203" spans="8:14" x14ac:dyDescent="0.3">
      <c r="H203" t="str">
        <f t="shared" si="12"/>
        <v/>
      </c>
    </row>
    <row r="204" spans="8:14" x14ac:dyDescent="0.3">
      <c r="H204" t="str">
        <f t="shared" si="12"/>
        <v/>
      </c>
    </row>
    <row r="205" spans="8:14" x14ac:dyDescent="0.3">
      <c r="H205" t="str">
        <f t="shared" si="12"/>
        <v/>
      </c>
    </row>
    <row r="206" spans="8:14" x14ac:dyDescent="0.3">
      <c r="H206" t="str">
        <f t="shared" si="12"/>
        <v/>
      </c>
    </row>
    <row r="207" spans="8:14" x14ac:dyDescent="0.3">
      <c r="H207" t="str">
        <f t="shared" si="12"/>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E26" sqref="E26"/>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7" sqref="B17"/>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2C83-841B-4A63-A339-3F94868C17BE}">
  <dimension ref="A3:K23"/>
  <sheetViews>
    <sheetView workbookViewId="0">
      <selection activeCell="H16" sqref="H16"/>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7" max="11" width="10.33203125" customWidth="1"/>
  </cols>
  <sheetData>
    <row r="3" spans="1:11" x14ac:dyDescent="0.3">
      <c r="A3" t="s">
        <v>2520</v>
      </c>
      <c r="B3" t="s">
        <v>2521</v>
      </c>
      <c r="C3" t="s">
        <v>2522</v>
      </c>
      <c r="D3" t="s">
        <v>2524</v>
      </c>
      <c r="E3" t="s">
        <v>2523</v>
      </c>
      <c r="G3" t="s">
        <v>2538</v>
      </c>
      <c r="H3" t="s">
        <v>2539</v>
      </c>
      <c r="I3" t="s">
        <v>2540</v>
      </c>
      <c r="J3" t="s">
        <v>2541</v>
      </c>
      <c r="K3" t="s">
        <v>2542</v>
      </c>
    </row>
    <row r="4" spans="1:11" x14ac:dyDescent="0.3">
      <c r="A4" s="18">
        <v>31</v>
      </c>
      <c r="B4" s="18">
        <v>134</v>
      </c>
      <c r="C4" s="18">
        <v>8053.3</v>
      </c>
      <c r="D4" s="18">
        <v>3.903225806451613</v>
      </c>
      <c r="E4" s="18">
        <v>2.3548387096774195</v>
      </c>
      <c r="G4" t="s">
        <v>2525</v>
      </c>
    </row>
    <row r="5" spans="1:11" x14ac:dyDescent="0.3">
      <c r="G5" t="s">
        <v>2526</v>
      </c>
      <c r="H5" t="s">
        <v>2527</v>
      </c>
      <c r="I5" t="s">
        <v>2528</v>
      </c>
      <c r="J5" t="s">
        <v>2529</v>
      </c>
      <c r="K5" t="s">
        <v>2530</v>
      </c>
    </row>
    <row r="6" spans="1:11" x14ac:dyDescent="0.3">
      <c r="G6" t="str">
        <f>TEXT(A4,"#,##")</f>
        <v>31</v>
      </c>
      <c r="H6" t="str">
        <f>TEXT(B4,"#,##")</f>
        <v>134</v>
      </c>
      <c r="I6" t="str">
        <f>TEXT(C4,"$#,##,.0k")</f>
        <v>$8.1k</v>
      </c>
      <c r="J6" t="str">
        <f>TEXT(D4,"0.0")</f>
        <v>3.9</v>
      </c>
      <c r="K6" t="str">
        <f>TEXT(E4,"0.0")</f>
        <v>2.4</v>
      </c>
    </row>
    <row r="9" spans="1:11" x14ac:dyDescent="0.3">
      <c r="A9" s="5" t="s">
        <v>2518</v>
      </c>
      <c r="B9" t="s">
        <v>2521</v>
      </c>
      <c r="C9" t="s">
        <v>2522</v>
      </c>
    </row>
    <row r="10" spans="1:11" x14ac:dyDescent="0.3">
      <c r="A10" s="6">
        <v>1</v>
      </c>
      <c r="B10" s="18">
        <v>9</v>
      </c>
      <c r="C10" s="7">
        <v>483.3</v>
      </c>
    </row>
    <row r="11" spans="1:11" x14ac:dyDescent="0.3">
      <c r="A11" s="6">
        <v>2</v>
      </c>
      <c r="B11" s="18">
        <v>9</v>
      </c>
      <c r="C11" s="7">
        <v>112.5</v>
      </c>
    </row>
    <row r="12" spans="1:11" x14ac:dyDescent="0.3">
      <c r="A12" s="6">
        <v>3</v>
      </c>
      <c r="B12" s="18">
        <v>1</v>
      </c>
      <c r="C12" s="7">
        <v>49.7</v>
      </c>
    </row>
    <row r="13" spans="1:11" x14ac:dyDescent="0.3">
      <c r="A13" s="6">
        <v>4</v>
      </c>
      <c r="B13" s="18">
        <v>5</v>
      </c>
      <c r="C13" s="7">
        <v>134.30000000000001</v>
      </c>
    </row>
    <row r="14" spans="1:11" x14ac:dyDescent="0.3">
      <c r="A14" s="6">
        <v>5</v>
      </c>
      <c r="B14" s="18">
        <v>3</v>
      </c>
      <c r="C14" s="7">
        <v>194</v>
      </c>
    </row>
    <row r="15" spans="1:11" x14ac:dyDescent="0.3">
      <c r="A15" s="6">
        <v>6</v>
      </c>
      <c r="B15" s="18">
        <v>14</v>
      </c>
      <c r="C15" s="7">
        <v>933.5</v>
      </c>
    </row>
    <row r="16" spans="1:11" x14ac:dyDescent="0.3">
      <c r="A16" s="6">
        <v>7</v>
      </c>
      <c r="B16" s="18">
        <v>21</v>
      </c>
      <c r="C16" s="7">
        <v>2169.9</v>
      </c>
    </row>
    <row r="17" spans="1:3" x14ac:dyDescent="0.3">
      <c r="A17" s="6">
        <v>8</v>
      </c>
      <c r="B17" s="18">
        <v>13</v>
      </c>
      <c r="C17" s="7">
        <v>851.3</v>
      </c>
    </row>
    <row r="18" spans="1:3" x14ac:dyDescent="0.3">
      <c r="A18" s="6">
        <v>9</v>
      </c>
      <c r="B18" s="18">
        <v>23</v>
      </c>
      <c r="C18" s="7">
        <v>1443.1</v>
      </c>
    </row>
    <row r="19" spans="1:3" x14ac:dyDescent="0.3">
      <c r="A19" s="6">
        <v>10</v>
      </c>
      <c r="B19" s="18">
        <v>1</v>
      </c>
      <c r="C19" s="7">
        <v>52.2</v>
      </c>
    </row>
    <row r="20" spans="1:3" x14ac:dyDescent="0.3">
      <c r="A20" s="6">
        <v>11</v>
      </c>
      <c r="B20" s="18">
        <v>7</v>
      </c>
      <c r="C20" s="7">
        <v>480.1</v>
      </c>
    </row>
    <row r="21" spans="1:3" x14ac:dyDescent="0.3">
      <c r="A21" s="6">
        <v>12</v>
      </c>
      <c r="B21" s="18">
        <v>9</v>
      </c>
      <c r="C21" s="7">
        <v>472.8</v>
      </c>
    </row>
    <row r="22" spans="1:3" x14ac:dyDescent="0.3">
      <c r="A22" s="6">
        <v>13</v>
      </c>
      <c r="B22" s="18">
        <v>19</v>
      </c>
      <c r="C22" s="7">
        <v>676.6</v>
      </c>
    </row>
    <row r="23" spans="1:3" x14ac:dyDescent="0.3">
      <c r="A23" s="6" t="s">
        <v>2519</v>
      </c>
      <c r="B23" s="18">
        <v>134</v>
      </c>
      <c r="C23" s="7">
        <v>8053.3000000000011</v>
      </c>
    </row>
  </sheetData>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E246-6787-4DF2-BD33-35B84D8EC9ED}">
  <dimension ref="A1"/>
  <sheetViews>
    <sheetView showGridLines="0" tabSelected="1" zoomScale="55" zoomScaleNormal="55" workbookViewId="0">
      <selection activeCell="AA21" sqref="AA21"/>
    </sheetView>
  </sheetViews>
  <sheetFormatPr defaultRowHeight="14.4" x14ac:dyDescent="0.3"/>
  <cols>
    <col min="1" max="1" width="4.77734375" customWidth="1"/>
    <col min="2" max="2" width="19.5546875" customWidth="1"/>
    <col min="3" max="3" width="4.77734375" customWidth="1"/>
    <col min="8" max="8" width="8.88671875" customWidth="1"/>
    <col min="13" max="13" width="8.8867187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Pivots 3</vt:lpstr>
      <vt:lpstr>Pivots 2 </vt:lpstr>
      <vt:lpstr>Data</vt:lpstr>
      <vt:lpstr>Questions &amp; KPIs</vt:lpstr>
      <vt:lpstr>Pivots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LYAIA_6_Rollno_50 _Yashowardhan_Shete ADT24SOCBD146</cp:lastModifiedBy>
  <dcterms:created xsi:type="dcterms:W3CDTF">2025-06-13T02:42:26Z</dcterms:created>
  <dcterms:modified xsi:type="dcterms:W3CDTF">2026-09-08T13:43:56Z</dcterms:modified>
</cp:coreProperties>
</file>